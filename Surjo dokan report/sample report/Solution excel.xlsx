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90" windowWidth="27555" windowHeight="123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Sheet1!$I$1:$N$319</definedName>
  </definedNames>
  <calcPr calcId="144525"/>
  <fileRecoveryPr repairLoad="1"/>
</workbook>
</file>

<file path=xl/calcChain.xml><?xml version="1.0" encoding="utf-8"?>
<calcChain xmlns="http://schemas.openxmlformats.org/spreadsheetml/2006/main">
  <c r="M5" i="1" l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4" i="1"/>
  <c r="M3" i="1"/>
  <c r="M2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4" i="1"/>
  <c r="L3" i="1"/>
  <c r="L2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4" i="1"/>
  <c r="K3" i="1"/>
  <c r="K2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4" i="1"/>
  <c r="J3" i="1"/>
  <c r="J2" i="1"/>
</calcChain>
</file>

<file path=xl/sharedStrings.xml><?xml version="1.0" encoding="utf-8"?>
<sst xmlns="http://schemas.openxmlformats.org/spreadsheetml/2006/main" count="685" uniqueCount="522">
  <si>
    <t>NIC Alphonso Mango 100ml</t>
  </si>
  <si>
    <t>NIC Apricot 100ml</t>
  </si>
  <si>
    <t>NIC Belgian Chocolate 100ml</t>
  </si>
  <si>
    <t>NIC Black Sesame 100ml</t>
  </si>
  <si>
    <t>NIC Butter Scotch 100ml</t>
  </si>
  <si>
    <t>NIC Chickoo 100ml</t>
  </si>
  <si>
    <t>NIC Choco Chips 100ml</t>
  </si>
  <si>
    <t>NIC Choco Walnut 100ml</t>
  </si>
  <si>
    <t>NIC Chocolate Almond 100ml</t>
  </si>
  <si>
    <t>NIC Coconut Pineapple 100ml</t>
  </si>
  <si>
    <t>NIC Coffee Walnut 100ml</t>
  </si>
  <si>
    <t>NIC Cookies N Cream 100ml</t>
  </si>
  <si>
    <t>NIC Dates N Honey 100ml</t>
  </si>
  <si>
    <t>NIC Dryfruit Over Load 100ml</t>
  </si>
  <si>
    <t>NIC French Vanilla 100ml</t>
  </si>
  <si>
    <t>NIC Gajar Halwa 100ml</t>
  </si>
  <si>
    <t>NIC Guava 100ml</t>
  </si>
  <si>
    <t>NIC Gulab Jamun 100ml</t>
  </si>
  <si>
    <t>NIC Jack Fruit 100ml</t>
  </si>
  <si>
    <t>NIC Jaggery 100ml</t>
  </si>
  <si>
    <t>NIC Jaggery Almond 100ml</t>
  </si>
  <si>
    <t>NIC Kaju Kishmish 100ml</t>
  </si>
  <si>
    <t>NIC Kala Jamun 100ml</t>
  </si>
  <si>
    <t>NIC Kesar Pista 100ml</t>
  </si>
  <si>
    <t>NIC Kiwi N Pears 100ml</t>
  </si>
  <si>
    <t>NIC Lemon Grass 100ml</t>
  </si>
  <si>
    <t>NIC Litchi 100ml</t>
  </si>
  <si>
    <t>NIC Madagascar 100ml</t>
  </si>
  <si>
    <t>NIC Malai 100ml</t>
  </si>
  <si>
    <t>NIC Malai Barfi 100ml</t>
  </si>
  <si>
    <t>NIC Mixed Berries 100ml</t>
  </si>
  <si>
    <t>NIC Modak 100ml</t>
  </si>
  <si>
    <t>NIC Motichoor Ladoo 100ml</t>
  </si>
  <si>
    <t>NIC Muskmelon 100ml</t>
  </si>
  <si>
    <t>NIC Velvety Nutella 100ml</t>
  </si>
  <si>
    <t>NIC Paan 100ml</t>
  </si>
  <si>
    <t>NIC Pani Puri 100ml</t>
  </si>
  <si>
    <t>NIC Plum 100ml</t>
  </si>
  <si>
    <t>NIC Roasted Almond 100ml</t>
  </si>
  <si>
    <t>NIC Sea Salt Caramel 100ml</t>
  </si>
  <si>
    <t>NIC Sheer Khurma 100ml</t>
  </si>
  <si>
    <t>NIC Sitaphal 100ml</t>
  </si>
  <si>
    <t>NIC Spicy Guava 100ml</t>
  </si>
  <si>
    <t>NIC Strawberry 100ml</t>
  </si>
  <si>
    <t>NIC Strawberry Cheesecake 100ml</t>
  </si>
  <si>
    <t>NIC Tender Coconut 100ml</t>
  </si>
  <si>
    <t>NIC Thandai 100ml</t>
  </si>
  <si>
    <t>NIC Til Gur 100ml</t>
  </si>
  <si>
    <t>NIC Water Melon 100ml</t>
  </si>
  <si>
    <t>NIC Anjeer 100ml</t>
  </si>
  <si>
    <t>NIC Macadamia Nuts 100ml</t>
  </si>
  <si>
    <t>NIC Britannia Bourbon Ice Cream 100ml</t>
  </si>
  <si>
    <t>NIC Chango Ice Cream 100ml</t>
  </si>
  <si>
    <t>BisCrunch Ice Cream 100ml</t>
  </si>
  <si>
    <t>NIC Alphonso Mango No Added Sugar 100ml</t>
  </si>
  <si>
    <t>NIC Anjeer No Added Sugar 100ml</t>
  </si>
  <si>
    <t>NIC Roasted Almond No Added Sugar 100ml</t>
  </si>
  <si>
    <t>NIC Tender Coconut No Added Sugar 100ml</t>
  </si>
  <si>
    <t>NIC Belgian Chocolate No Added Sugar 100ml</t>
  </si>
  <si>
    <t>NIC Kesar Pista No Added Sugar 100ml</t>
  </si>
  <si>
    <t>NIC Alphonso Mango 500ml</t>
  </si>
  <si>
    <t>NIC Anjeer 500ml</t>
  </si>
  <si>
    <t>NIC Apricot 500ml</t>
  </si>
  <si>
    <t>NIC Belgian Chocolate 500ml</t>
  </si>
  <si>
    <t>NIC Butter Scotch 500ml</t>
  </si>
  <si>
    <t>NIC Chickoo 500ml</t>
  </si>
  <si>
    <t>NIC Choco Chips 500ml</t>
  </si>
  <si>
    <t>NIC Choco Walnut 500ml</t>
  </si>
  <si>
    <t>NIC Chocobite 500ml</t>
  </si>
  <si>
    <t>NIC Coffee Walnut 500ml</t>
  </si>
  <si>
    <t>NIC Cookies N Cream 500ml</t>
  </si>
  <si>
    <t>NIC Dates N Honey 500ml</t>
  </si>
  <si>
    <t>NIC Dryfruit Over Load 500ml</t>
  </si>
  <si>
    <t>NIC French Vanilla 500ml</t>
  </si>
  <si>
    <t>NIC Gajar Halwa 500ml</t>
  </si>
  <si>
    <t>NIC Gulab Jamun 500ml</t>
  </si>
  <si>
    <t>NIC Jackfruit 500ml</t>
  </si>
  <si>
    <t>NIC Jaggery Almond 500ml</t>
  </si>
  <si>
    <t>NIC Kala Jamun 500ml</t>
  </si>
  <si>
    <t>NIC Kesar Pista 500ml</t>
  </si>
  <si>
    <t>NIC Kheer 500ml</t>
  </si>
  <si>
    <t>NIC Kiwi N Pears 500ml</t>
  </si>
  <si>
    <t>NIC Kulfi 500ml</t>
  </si>
  <si>
    <t>NIC Litchi 500ml</t>
  </si>
  <si>
    <t>NIC Madagascar 500ml</t>
  </si>
  <si>
    <t>NIC Malai Barfi 500ml</t>
  </si>
  <si>
    <t>NIC Mixed Berries 500ml</t>
  </si>
  <si>
    <t>NIC Modak 500ml</t>
  </si>
  <si>
    <t>NIC Moong Dal Halwa 500ml</t>
  </si>
  <si>
    <t>NIC Motichoor Ladoo 500ml</t>
  </si>
  <si>
    <t>NIC Nutella 500ml</t>
  </si>
  <si>
    <t>NIC Paan 500ml</t>
  </si>
  <si>
    <t>NIC Plum 500ml</t>
  </si>
  <si>
    <t>NIC Rasgulla 500ml</t>
  </si>
  <si>
    <t>NIC Roasted Almond 500ml</t>
  </si>
  <si>
    <t>NIC Sea Salt Caramel 500ml</t>
  </si>
  <si>
    <t>NIC Sheer Khurma 500ml</t>
  </si>
  <si>
    <t>NIC Sitaphal 500ml</t>
  </si>
  <si>
    <t>NIC Strawberry 500ml</t>
  </si>
  <si>
    <t>NIC Strawberry Cheesecake 500ml</t>
  </si>
  <si>
    <t>NIC Tender Coconut 500ml</t>
  </si>
  <si>
    <t>NIC Thandai 500ml</t>
  </si>
  <si>
    <t>NIC Til Gur 500ml</t>
  </si>
  <si>
    <t>NIC Panjiri 500ml</t>
  </si>
  <si>
    <t>NIC Macadamia Nuts 500ml</t>
  </si>
  <si>
    <t>NIC  Nolen Gur 500ml</t>
  </si>
  <si>
    <t>NIC Chango 500ml</t>
  </si>
  <si>
    <t>BisCrunch Ice Cream 500ml</t>
  </si>
  <si>
    <t>NIC Tender Coconut Sugarless 500ml</t>
  </si>
  <si>
    <t>NIC Alphonso Mango No Added Sugar 500ml</t>
  </si>
  <si>
    <t>NIC Anjeer No Added Sugar 500ml</t>
  </si>
  <si>
    <t>NIC Roasted Almond No Added Sugar 500ml</t>
  </si>
  <si>
    <t>NIC Tender Coconut No Added Sugar 500ml</t>
  </si>
  <si>
    <t>NIC Belgian Chocolate No Added Sugar 500ml</t>
  </si>
  <si>
    <t>NIC Kesar Pista No Added Sugar 500ml</t>
  </si>
  <si>
    <t>NIC Alphonso Mango 750ml</t>
  </si>
  <si>
    <t>NIC Anjeer 750ml</t>
  </si>
  <si>
    <t>NIC Apricot 750ml</t>
  </si>
  <si>
    <t>NIC Belgian Chocolate 750ml</t>
  </si>
  <si>
    <t>NIC Black Sesame 750ml</t>
  </si>
  <si>
    <t>NIC Butter Scotch 750ml</t>
  </si>
  <si>
    <t>NIC Chickoo 750ml</t>
  </si>
  <si>
    <t>NIC Choco Chips 750ml</t>
  </si>
  <si>
    <t>NIC Choco Walnut 750ml</t>
  </si>
  <si>
    <t>NIC Chocobite 750ml</t>
  </si>
  <si>
    <t>NIC Chocolate Almond 750ml</t>
  </si>
  <si>
    <t>NIC Coconut Pineapple 750ml</t>
  </si>
  <si>
    <t>NIC Coffee Walnut 750ml</t>
  </si>
  <si>
    <t>NIC Cookies N Cream 750ml</t>
  </si>
  <si>
    <t>NIC Dates N Honey 750ml</t>
  </si>
  <si>
    <t>NIC Dryfruit Over Load 750ml</t>
  </si>
  <si>
    <t>NIC French Vanilla 750ml</t>
  </si>
  <si>
    <t>NIC Gajar Halwa 750ml</t>
  </si>
  <si>
    <t>NIC Guava 750ml</t>
  </si>
  <si>
    <t>NIC Gulab Jamun 750ml</t>
  </si>
  <si>
    <t>NIC Gulkand 750ml</t>
  </si>
  <si>
    <t>NIC Hazelnut 750ml</t>
  </si>
  <si>
    <t>NIC Jackfruit 750ml</t>
  </si>
  <si>
    <t>NIC Jaggery 750ml</t>
  </si>
  <si>
    <t>NIC Jaggery Almond 750ml</t>
  </si>
  <si>
    <t>NIC Kaju Kishmish 750ml</t>
  </si>
  <si>
    <t>NIC Kala Jamun 750ml</t>
  </si>
  <si>
    <t>NIC Kesar Pista 750ml</t>
  </si>
  <si>
    <t>NIC Kheer 750ml</t>
  </si>
  <si>
    <t>NIC Kiwi N Pears 750ml</t>
  </si>
  <si>
    <t>NIC Kulfi 750ml</t>
  </si>
  <si>
    <t>NIC Lemon Grass 750ml</t>
  </si>
  <si>
    <t>NIC Litchi 750ml</t>
  </si>
  <si>
    <t>NIC Madagascar 750ml</t>
  </si>
  <si>
    <t>NIC Malai 750ml</t>
  </si>
  <si>
    <t>NIC Malai Barfi 750ml</t>
  </si>
  <si>
    <t>NIC Mixed Berries 750ml</t>
  </si>
  <si>
    <t>NIC Moong Dal Halwa 750ml</t>
  </si>
  <si>
    <t>NIC Motichoor Ladoo 750ml</t>
  </si>
  <si>
    <t>NIC Musk Melon 750ml</t>
  </si>
  <si>
    <t>NIC Velvety Nutella 750ml</t>
  </si>
  <si>
    <t>NIC Paan 750ml</t>
  </si>
  <si>
    <t>NIC Pani Puri 750ml</t>
  </si>
  <si>
    <t>NIC Peanut Butter 750ml</t>
  </si>
  <si>
    <t>NIC Plum 750ml</t>
  </si>
  <si>
    <t>NIC Roasted Almond 750ml</t>
  </si>
  <si>
    <t>NIC Sea Salt Caramel 750ml</t>
  </si>
  <si>
    <t>NIC Sheer Khurma 750ml</t>
  </si>
  <si>
    <t>NIC Sitaphal 750ml</t>
  </si>
  <si>
    <t>NIC Spicy Guava 750ml</t>
  </si>
  <si>
    <t>NIC Strawberry 750ml</t>
  </si>
  <si>
    <t>NIC Strawberry Cheesecake 750ml</t>
  </si>
  <si>
    <t>NIC Tender Coconut 750ml</t>
  </si>
  <si>
    <t>NIC Thandai 750ml</t>
  </si>
  <si>
    <t>NIC Til Gur 750ml</t>
  </si>
  <si>
    <t>NIC Water Melon 750ml</t>
  </si>
  <si>
    <t>NIC Macadamia Nuts 750ml</t>
  </si>
  <si>
    <t>NIC Tender Coconut Sugarless 750ml</t>
  </si>
  <si>
    <t>NIC Belgian Chocolate Sugarless 750ml</t>
  </si>
  <si>
    <t>Grameen Stick Kulfi Alphonso Mango 70ml X 1</t>
  </si>
  <si>
    <t>Grameen Stick Kulfi Anjeer 70ml X 1</t>
  </si>
  <si>
    <t>Grameen Stick Kulfi Butterscotch 70ml X 1</t>
  </si>
  <si>
    <t>Grameen Stick Kulfi Calcutta Paan 70ml X 1</t>
  </si>
  <si>
    <t>Grameen Stick Kulfi Chocolate 70ml X 1</t>
  </si>
  <si>
    <t>Grameen Stick Kulfi Desi Malai 70ml X 1</t>
  </si>
  <si>
    <t>Grameen Stick Kulfi Gud Badaam 70ml X 1</t>
  </si>
  <si>
    <t>Grameen Stick Kulfi Kesar Pista 70ml X 1</t>
  </si>
  <si>
    <t>Grameen Stick Kulfi Shahi Gulkand 70ml X 1</t>
  </si>
  <si>
    <t>Grameen Stick Kulfi Sitaphal 70ml X 1</t>
  </si>
  <si>
    <t>Grameen Stick Kulfi Thandai 70ml X 1</t>
  </si>
  <si>
    <t>Grameen Matka Kulfi Desi Malai 100ml X 1</t>
  </si>
  <si>
    <t>Grameen Matka Kulfi Dry Fruit 100ml X 1</t>
  </si>
  <si>
    <t>Grameen Matka Kulfi Kesar Pista 100ml X 1</t>
  </si>
  <si>
    <t>Grameen Matka Kulfi Mango 100ml X 1</t>
  </si>
  <si>
    <t>Grameen Matka Kulfi Shahi Gulkand 100ml X 1</t>
  </si>
  <si>
    <t>Grameen Matka Kulfi Desi Malai 100ml X 2</t>
  </si>
  <si>
    <t>Grameen Matka Kulfi Dry Fruit 100ml X 2</t>
  </si>
  <si>
    <t>Grameen Matka Kulfi Gud Badaam 100ml X 2</t>
  </si>
  <si>
    <t>Grameen Matka Kulfi Kesar Pista 100ml X 2</t>
  </si>
  <si>
    <t>Grameen Matka Kulfi Mango 100ml X 2</t>
  </si>
  <si>
    <t>Grameen Matka Kulfi Shahi Gulkand 100ml X 2</t>
  </si>
  <si>
    <t>Grameen Matka Kulfi Thandai 100ml X 2</t>
  </si>
  <si>
    <t>Grameen Matka Kulfi Kesar Pista &amp; Gud Badaam 100ml X 2</t>
  </si>
  <si>
    <t>Grameen Slice Jugalbandi Kulfi Choco-Aam 90ml X 3</t>
  </si>
  <si>
    <t>Grameen Slice Jugalbandi Kulfi Choco-Malai 90ml X 3</t>
  </si>
  <si>
    <t>Grameen Slice Jugalbandi Kulfi Gulkand-Malai 90ml X 3</t>
  </si>
  <si>
    <t>Grameen Slice Kulfi Butterscotch 90ml X 3</t>
  </si>
  <si>
    <t>Grameen Slice Kulfi Chocolate 90ml X 3</t>
  </si>
  <si>
    <t>Grameen Slice Kulfi Desi Malai 90ml X 3</t>
  </si>
  <si>
    <t>Grameen Slice Kulfi Gud Badaam 90ml X 3</t>
  </si>
  <si>
    <t>Grameen Slice Kulfi Kesar Pista 90ml X 3</t>
  </si>
  <si>
    <t>Grameen Slice Kulfi Mango 90ml X 3</t>
  </si>
  <si>
    <t>Grameen Slice Kulfi Shahi Gulkand 90ml X 3</t>
  </si>
  <si>
    <t>Grameen Slice Kulfi Sitafal 90ml X 3</t>
  </si>
  <si>
    <t>CP Stick Kulfi Gulkand 70ml X 1</t>
  </si>
  <si>
    <t>CP Stick Kulfi Jaggery Almond 70ml X 1</t>
  </si>
  <si>
    <t>CP Stick Kulfi Kesar Pista 70ml X 1</t>
  </si>
  <si>
    <t>CP Stick Kulfi Malai 70ml X 1</t>
  </si>
  <si>
    <t>CP Stick Kulfi Mango 70ml X 1</t>
  </si>
  <si>
    <t>CP Stick Kulfi Paan 70ml X 1</t>
  </si>
  <si>
    <t>CP Matka Kulfi Dryfruit 100ml X 2</t>
  </si>
  <si>
    <t>CP Matka Kulfi Malai 100ml X 2</t>
  </si>
  <si>
    <t>CP Slice Kulfi Malai 90ml X 3</t>
  </si>
  <si>
    <t>No Added Sugar Alphonso Mango Stick Kulfi 70ml</t>
  </si>
  <si>
    <t>No Added Sugar Kesar Pista Stick Kulfi 70ml</t>
  </si>
  <si>
    <t>No Added Sugar Desi Malai Stick Kulfi 70ml</t>
  </si>
  <si>
    <t>No Added Sugar Desi Malai Matka Kulfi (Pack of 2)</t>
  </si>
  <si>
    <t>No Added Sugar Desi Malai Slice Kulfi (Pack of 3)</t>
  </si>
  <si>
    <t>No Added Sugar Dry Fruit Matka Kulfi (Pack of 2)</t>
  </si>
  <si>
    <t>Desi Malai Maha Matka Kulfi 500 ml</t>
  </si>
  <si>
    <t>Yummo Chocobar 60ml X 12</t>
  </si>
  <si>
    <t>Yummo ChocoExplosion 60ml X 12</t>
  </si>
  <si>
    <t>Yummo Alphonso Mango Cone 120ml X 8</t>
  </si>
  <si>
    <t>Yummo Strawberry Cone 120ml X 8</t>
  </si>
  <si>
    <t>Yummo Butterscotch Cone 120ml X 8</t>
  </si>
  <si>
    <t>Yummo Choco Delight Cone 120ml X 8</t>
  </si>
  <si>
    <t>Yummo Black Currant Cone 120ml X 8</t>
  </si>
  <si>
    <t>Yummo Vanilla 100ml X 8 Cup</t>
  </si>
  <si>
    <t>Yummo Alphonso Mango 100ml X 8 Cup</t>
  </si>
  <si>
    <t>Yummo Strawberry 100ml X 8 Cup</t>
  </si>
  <si>
    <t>Yummo Butterscotch 100ml X 8 Cup</t>
  </si>
  <si>
    <t>Yummo Choco Delight 100ml X 8 Cup</t>
  </si>
  <si>
    <t>Yummo Vanilla 500ml Tub</t>
  </si>
  <si>
    <t>Yummo Alphonso Mango 500ml Tub</t>
  </si>
  <si>
    <t>Yummo Strawberry 500ml Tub</t>
  </si>
  <si>
    <t>Yummo Butterscotch 500ml Tub</t>
  </si>
  <si>
    <t>Yummo Choco Delight 500ml Tub</t>
  </si>
  <si>
    <t>Yummo Vanilla 1Ltr Tub</t>
  </si>
  <si>
    <t>Yummo Alphonso Mango 1Ltr Tub</t>
  </si>
  <si>
    <t>Yummo Strawberry 1Ltr Tub</t>
  </si>
  <si>
    <t>Yummo Butterscotch 1Ltr Tub</t>
  </si>
  <si>
    <t>Yummo Choco Delight 1Ltr Tub</t>
  </si>
  <si>
    <t>Ice Cream Cones (Pack Of 5)</t>
  </si>
  <si>
    <t>Mimo Crave Cone Alphonso Mango 120ml X 8</t>
  </si>
  <si>
    <t>Mimo Crave Cone Strawberry Rush 120ml X 8</t>
  </si>
  <si>
    <t>Mimo Crave Cone Crunchy Butterscotch 120ml X 8</t>
  </si>
  <si>
    <t>Mimo Crave Cone Rich Chocochips 120ml X 8</t>
  </si>
  <si>
    <t>Mimo Crave Cone Black Currant 120ml X 8</t>
  </si>
  <si>
    <t>Mimo Choco Disc Cone 120ml X 8</t>
  </si>
  <si>
    <t>Mimo Shahi Kulfi 50ml X 12</t>
  </si>
  <si>
    <t>Mimo Rajbhog Kulfi 50ml X 12</t>
  </si>
  <si>
    <t>Mimo Choco Xplosion 60ml X 10</t>
  </si>
  <si>
    <t>Mimo Alphonso Mango Tub 750ml</t>
  </si>
  <si>
    <t>Mimo Strawberry Rush Tub 750ml</t>
  </si>
  <si>
    <t>Mimo Rich Chocochips Tub 750ml</t>
  </si>
  <si>
    <t>Mimo Belgian Chocolate Tub 750ml</t>
  </si>
  <si>
    <t>Mimo Classic American Nuts Tub 750ml</t>
  </si>
  <si>
    <t>Mimo Choco Brownie Tub 750ml</t>
  </si>
  <si>
    <t>Mimo Mixed Berries Cup 120ml X 8</t>
  </si>
  <si>
    <t>Mimo Pista Almond Cup 120ml X 8</t>
  </si>
  <si>
    <t>Mimo Silk Chocolate Cup 120ml X 8</t>
  </si>
  <si>
    <t>Mimo Chocochips Ice Cream Cake 500ml</t>
  </si>
  <si>
    <t>Mimo Cassata Ice Cream Cake 500ml</t>
  </si>
  <si>
    <t>Mimo Black Forest Ice Cream Cake 1000ml</t>
  </si>
  <si>
    <t>Mimo Golden Fantasy Ice Cream Cake 1000ml</t>
  </si>
  <si>
    <t>Mimo Mega Bar Mango 80ml</t>
  </si>
  <si>
    <t>Mimo Mega Bar Chocolate Truffle 80ml X 8</t>
  </si>
  <si>
    <t>Mimo Mega Bar Almond Crunch 80ml X 8</t>
  </si>
  <si>
    <t>Toasties Belgian Chocolate (Box of 2)</t>
  </si>
  <si>
    <t>Toasties Vanilla Bean (Box of 2)</t>
  </si>
  <si>
    <t>Toasties Brown Butter Almond (Box of 2)</t>
  </si>
  <si>
    <t>Toasties Sea Salt Caramel  (Box of 2)</t>
  </si>
  <si>
    <t>Toasties Vietnamese Iced Coffee (Box of 2)</t>
  </si>
  <si>
    <t>Toasties Cookies &amp; Cream  (Box of 2)</t>
  </si>
  <si>
    <t>Toasties Toasted Coconut Macaroon  (Box of 2)</t>
  </si>
  <si>
    <t>Assorted Toasties (Box of 6)</t>
  </si>
  <si>
    <t>Assorted Toasties (Box of 12)</t>
  </si>
  <si>
    <t>Roleys Belgian Chocolate (Box of 2)</t>
  </si>
  <si>
    <t>Roleys Vanilla Bean (Box of 2)</t>
  </si>
  <si>
    <t>Roleys Brown Butter Almond (Box of 2)</t>
  </si>
  <si>
    <t>Roleys Sea Salt Caramel  (Box of 2)</t>
  </si>
  <si>
    <t>Roleys Vietnamese Iced Coffee (Box of 2)</t>
  </si>
  <si>
    <t>Roleys Cookies &amp; Cream  (Box of 2)</t>
  </si>
  <si>
    <t>Assorted Roleys (Box of 6)</t>
  </si>
  <si>
    <t>Meemee's Signature Tubsters (125ml)</t>
  </si>
  <si>
    <t>Timeless Tiramisu Tubsters (125ml)</t>
  </si>
  <si>
    <t>Mango Dolly Tubsters (125ml)</t>
  </si>
  <si>
    <t>Raspberry Dolly Tubsters (125ml)</t>
  </si>
  <si>
    <t>Meemee's Signature Tubsters (300ml)</t>
  </si>
  <si>
    <t>Timeless Tiramisu Tubsters (300ml)</t>
  </si>
  <si>
    <t>Cookie Monster Tubsters (300ml)</t>
  </si>
  <si>
    <t>Very Berry Cheesecake Tubsters (300ml)</t>
  </si>
  <si>
    <t>70% Dark Chocolate Ice Cream Tub (100ml)</t>
  </si>
  <si>
    <t>Malted Cookie Dough Ice Cream Tub (100ml)</t>
  </si>
  <si>
    <t>Belgian Chocolate Ice Cream Tub (100ml)</t>
  </si>
  <si>
    <t>Rocky Road Ice Cream Tub (100ml)</t>
  </si>
  <si>
    <t>Vietnamese Iced Coffee Ice cream Tub (100ml)</t>
  </si>
  <si>
    <t>Sea Salt Caramel Ice Cream Tub (100ml)</t>
  </si>
  <si>
    <t>Meemee's SignatureIce Cream Cake (1/2 Kg)</t>
  </si>
  <si>
    <t>Mocha Caramel Ice Cream Cake (1/2 Kg)</t>
  </si>
  <si>
    <t>70% Dark Chocolate Ice Cream Tub (500ml)</t>
  </si>
  <si>
    <t>Belgian Chocolate Ice Cream Tub (500ml)</t>
  </si>
  <si>
    <t>Rocky Road Ice Cream Tub (500ml)</t>
  </si>
  <si>
    <t>Vietnamese Iced Coffee Ice Cream Tub (500ml)</t>
  </si>
  <si>
    <t>Sea Salt Caramel Ice Cream Tub (500ml)</t>
  </si>
  <si>
    <t>Meemee's Signature Ice Cream Cake (1 Kg)</t>
  </si>
  <si>
    <t>Toasties Splendid Strawberry (Box of 2)</t>
  </si>
  <si>
    <t>Splendid Strawberry Ice Cream Tub (100ml)</t>
  </si>
  <si>
    <t>Simply Mango Ice Cream Tub (100ml)</t>
  </si>
  <si>
    <t>Toasties Splendid Strawberry (Box of 2).</t>
  </si>
  <si>
    <t>Splendid Strawberry Ice Cream Tub (100ml).</t>
  </si>
  <si>
    <t>Product name</t>
  </si>
  <si>
    <t>Item Name</t>
  </si>
  <si>
    <t>CP Choco Chips 5Ltr</t>
  </si>
  <si>
    <t>CP Vanilla 5Ltr</t>
  </si>
  <si>
    <t>CP butterscotch 5 ltr</t>
  </si>
  <si>
    <t>Fm Butter Scotch Crunchi 0.5 Kgs</t>
  </si>
  <si>
    <t>Fm Plain Shake Premix 1ltr</t>
  </si>
  <si>
    <t>PM CC Plastic Glass With Lid 350 ml</t>
  </si>
  <si>
    <t>Paper Straw</t>
  </si>
  <si>
    <t>Pm Plastic Brownie Container 100 Ml</t>
  </si>
  <si>
    <t>Rm Bru Coffee</t>
  </si>
  <si>
    <t>Rm Fm Lemon Ice Tea Sachet</t>
  </si>
  <si>
    <t>Rm Fm Peach Passion Fruit Ice Tea Sachet</t>
  </si>
  <si>
    <t>Rm Kesharia Thandai</t>
  </si>
  <si>
    <t>Td Caramelised Onion Spinach Feta Cheese Cup</t>
  </si>
  <si>
    <t>Td Cheesy Tomato Mushroom Cup</t>
  </si>
  <si>
    <t>Td Chocochip Gooey Brownie</t>
  </si>
  <si>
    <t>Td Double Chocolate Fudgy Brownie</t>
  </si>
  <si>
    <t>Td Dvg Blueberry Syrup</t>
  </si>
  <si>
    <t>Td Dvg Bubble Gum Syrup</t>
  </si>
  <si>
    <t>Td Dvg Butterscotch Sauce</t>
  </si>
  <si>
    <t>Td Dvg Cheesecake Syrup</t>
  </si>
  <si>
    <t>Td Dvg Coconut Syrup</t>
  </si>
  <si>
    <t>Td Dvg Filter Coffee</t>
  </si>
  <si>
    <t>Td Dvg French Vanilla Syrup</t>
  </si>
  <si>
    <t>Td Dvg Hazelnut Syrups</t>
  </si>
  <si>
    <t>Td Dvg Irish Cream Syrup</t>
  </si>
  <si>
    <t>Td Dvg Peanut Butter Sauce</t>
  </si>
  <si>
    <t>Td Dvg Short Bread Cookies Syrup</t>
  </si>
  <si>
    <t>Td Dvg Tiramisu Syrup</t>
  </si>
  <si>
    <t>Td Feta Cheese Spinach Pinwheel</t>
  </si>
  <si>
    <t>Td Keshari Thandai Syrup</t>
  </si>
  <si>
    <t>Td Lotus Biscoff Brownie</t>
  </si>
  <si>
    <t>Td Mango Beverage Blend</t>
  </si>
  <si>
    <t>Td Mexican Taco Pinwheel</t>
  </si>
  <si>
    <t>Td Mix Berry Beverage Blend</t>
  </si>
  <si>
    <t>Td Pizza Cup</t>
  </si>
  <si>
    <t>Td Strawberry Beverage Blend</t>
  </si>
  <si>
    <t>Mimo Slice Cassata Ice Cream 125 ml</t>
  </si>
  <si>
    <t>PM NIC GIFT BOX</t>
  </si>
  <si>
    <t>Grameen NAS Matka Kulfi Desi Malai 100ml X 2</t>
  </si>
  <si>
    <t>Grameen NAS Matka Kulfi Dry Fruit 100ml X 2</t>
  </si>
  <si>
    <t>Grameen NAS Slice Kulfi Desi Malai 90ml X 3</t>
  </si>
  <si>
    <t>Grameen NAS Stick Kulfi Alphonso Mango 70ml X 1</t>
  </si>
  <si>
    <t>Grameen NAS Stick Kulfi Desi Malai 70ml X 1</t>
  </si>
  <si>
    <t>Grameen NAS Stick Kulfi Kesar Pista 70ml X 1</t>
  </si>
  <si>
    <t>NIC Chango 100ml</t>
  </si>
  <si>
    <t>NIC Plum Cake 100ml</t>
  </si>
  <si>
    <t>NIC Tilgud &amp; Revdi Ice Cream 100ml</t>
  </si>
  <si>
    <t>Nic BisCrunch Ice Cream 100ml</t>
  </si>
  <si>
    <t>Nic Britannia Bourbon Ice Cream 100ml</t>
  </si>
  <si>
    <t>Nic Nolen Gur Ice Cream 100ml</t>
  </si>
  <si>
    <t>Nic Alphonso Mango Ice Cream 300ml</t>
  </si>
  <si>
    <t>Nic Choco Chips Ice Cream 300ml</t>
  </si>
  <si>
    <t>Nic Dry Fruit Overload Ice Cream 300ml</t>
  </si>
  <si>
    <t>Nic Madagascar Chocolate Ice Cream 300ml</t>
  </si>
  <si>
    <t>Nic Tender Coconut Ice Cream 300ml</t>
  </si>
  <si>
    <t>Mishti Dohi Ice Cream 500ml</t>
  </si>
  <si>
    <t>NIC Pani Puri 500ml</t>
  </si>
  <si>
    <t>NIC Plum Cake 500ml</t>
  </si>
  <si>
    <t>NIC Tender Coconut Lite 500ml</t>
  </si>
  <si>
    <t>NIC Tilgud &amp; Revdi Ice Cream 500ml</t>
  </si>
  <si>
    <t>NIC Velvety Nutella 500ml</t>
  </si>
  <si>
    <t>Nic BisCrunch Ice Cream 500ml</t>
  </si>
  <si>
    <t>Nic Britannia Bourbon Ice Cream 500ml</t>
  </si>
  <si>
    <t>NIC Paper Bag Medium</t>
  </si>
  <si>
    <t>Paper Bag</t>
  </si>
  <si>
    <t>TD Waffle Cone 110ml x 5 Nos</t>
  </si>
  <si>
    <t>Grameen Maha Matka Kulfi Desi Malai 500ml X 1</t>
  </si>
  <si>
    <t>Kesar Pista - Malai Matka Kulfi - GK</t>
  </si>
  <si>
    <t>Mango - Malai Matka Kulfi - GK</t>
  </si>
  <si>
    <t>Thandai - Gulkand Matka Kulfi - GK</t>
  </si>
  <si>
    <t>Meemees Showstopper</t>
  </si>
  <si>
    <t>Meemees Toastie Treasure (pack Of 12)</t>
  </si>
  <si>
    <t>Meemees Downright Dark 1/2 Kg</t>
  </si>
  <si>
    <t>Meemees Downright Dark 1kg</t>
  </si>
  <si>
    <t>Meemees Mocha Caramel 1/2 Kg</t>
  </si>
  <si>
    <t>Meemees Mocha Caramel 1kg</t>
  </si>
  <si>
    <t>Meemees The Signature 1 Kg</t>
  </si>
  <si>
    <t>Meemees The Signature 1/2 Kg</t>
  </si>
  <si>
    <t>Meemees 70% Dark Chocolate Tub 100ml</t>
  </si>
  <si>
    <t>Meemees Almonds Ahoy 100ml</t>
  </si>
  <si>
    <t>Meemees Belgian Chocolate 100ml</t>
  </si>
  <si>
    <t>Meemees Brown Butter Almond 100ml</t>
  </si>
  <si>
    <t>Meemees Cookies &amp; Cream 100ml</t>
  </si>
  <si>
    <t>Meemees Fudgy Coffee 100ml</t>
  </si>
  <si>
    <t>Meemees Malted Cookie Dough Tub 100ml</t>
  </si>
  <si>
    <t>Meemees Mint &amp; Chip Tub 100ml</t>
  </si>
  <si>
    <t>Meemees Mixed Berry Mascarpone 100ml</t>
  </si>
  <si>
    <t>Meemees Passionfruit Sorbet 100ml</t>
  </si>
  <si>
    <t>Meemees Rocky Road 100ml</t>
  </si>
  <si>
    <t>Meemees Rose Garden Tub 100ml</t>
  </si>
  <si>
    <t>Meemees Sea Salt Caramel 100ml</t>
  </si>
  <si>
    <t>Meemees Simply Mango Ice Cream Tub (100ml)</t>
  </si>
  <si>
    <t>Meemees Splendid Strawberry Ice Cream Tub (100ml)</t>
  </si>
  <si>
    <t>Meemees Toasted Coconut Macaroon 100ml</t>
  </si>
  <si>
    <t>Meemees Vanilla Bean 100ml</t>
  </si>
  <si>
    <t>Meemees Vegan Dark Chocolate 100ml</t>
  </si>
  <si>
    <t>Meemees Vietnamese Iced Coffee 100ml</t>
  </si>
  <si>
    <t>Meemees 70% Dark Chocolate Tub 500ml</t>
  </si>
  <si>
    <t>Meemees Belgian Chocolate 500ml</t>
  </si>
  <si>
    <t>Meemees Brown Butter Almond 500ml</t>
  </si>
  <si>
    <t>Meemees Cookies &amp; Cream 500ml</t>
  </si>
  <si>
    <t>Meemees Fudgy Coffee 500ml</t>
  </si>
  <si>
    <t>Meemees Mixed Berry Mascarpone 500ml</t>
  </si>
  <si>
    <t>Meemees Passionfruit Sorbet 500ml</t>
  </si>
  <si>
    <t>Meemees Rocky Road 500ml</t>
  </si>
  <si>
    <t>Meemees Sea Salt Caramel 500ml</t>
  </si>
  <si>
    <t>Meemees Vanilla Bean 500ml</t>
  </si>
  <si>
    <t>Meemees Vegan Dark Chocolate 500ml</t>
  </si>
  <si>
    <t>Meemees Vietnamese Iced Coffee 500ml</t>
  </si>
  <si>
    <t>Meemees Roleys Belgian Chocolate</t>
  </si>
  <si>
    <t>Meemees Roleys Brown Butter Almond</t>
  </si>
  <si>
    <t>Meemees Roleys Cookies &amp; Cream</t>
  </si>
  <si>
    <t>Meemees Roleys Sea Salt Caramel</t>
  </si>
  <si>
    <t>Meemees Roleys Vanilla Bean</t>
  </si>
  <si>
    <t>Meemees Roleys Vietnamese Iced Coffee</t>
  </si>
  <si>
    <t>The Better Half Bundle</t>
  </si>
  <si>
    <t>Meemees Toasties 70% Dark Chocolate</t>
  </si>
  <si>
    <t>Meemees Toasties Assorted Toasties (pack Of 12)</t>
  </si>
  <si>
    <t>Meemees Toasties Assorted Toasties (pack Of 6)</t>
  </si>
  <si>
    <t>Meemees Toasties Belgian Chocolate.</t>
  </si>
  <si>
    <t>Meemees Toasties Brown Butter Almond.</t>
  </si>
  <si>
    <t>Meemees Toasties Cookies &amp; Cream.</t>
  </si>
  <si>
    <t>Meemees Toasties Sea Salt Caramel.</t>
  </si>
  <si>
    <t>Meemees Toasties Splendid Strawberry (box Of 2).</t>
  </si>
  <si>
    <t>Meemees Toasties Toasted Coconut Macaroon.</t>
  </si>
  <si>
    <t>Meemees Toasties Vanilla Bean.</t>
  </si>
  <si>
    <t>Meemees Toasties Vietnamese Iced Coffee.</t>
  </si>
  <si>
    <t>Meemee's Signature 125 Ml</t>
  </si>
  <si>
    <t>Meemees Cookie Monster 300 Ml</t>
  </si>
  <si>
    <t>Meemees Mango Dolly 125 Ml</t>
  </si>
  <si>
    <t>Meemees Meemee's Signature 300 Ml</t>
  </si>
  <si>
    <t>Meemees Raspberry Dolly 125 Ml</t>
  </si>
  <si>
    <t>Meemees Timeless Tiramisu 125 Ml</t>
  </si>
  <si>
    <t>Meemees Timeless Tiramisu 300 Ml</t>
  </si>
  <si>
    <t>Meemees Very Berry Cheesecake 300 Ml</t>
  </si>
  <si>
    <t>Mimo Belgian Chocolate 120ml</t>
  </si>
  <si>
    <t>Mimo Berry Strawberry 700ml</t>
  </si>
  <si>
    <t>Mimo Butterscotch 700ml</t>
  </si>
  <si>
    <t xml:space="preserve">Mimo Choco Disc Cone 120ml </t>
  </si>
  <si>
    <t xml:space="preserve">Mimo Choco Xplosion 60ml </t>
  </si>
  <si>
    <t>Mimo Chocochips 700ml</t>
  </si>
  <si>
    <t>Mimo Crave Cone Alphonso Mango 120ml</t>
  </si>
  <si>
    <t xml:space="preserve">Mimo Crave Cone Black Currant 120ml </t>
  </si>
  <si>
    <t>Mimo Crave Cone Crunchy Butterscotch 120ml</t>
  </si>
  <si>
    <t>Mimo Crave Cone Rich Chocochips 120ml</t>
  </si>
  <si>
    <t xml:space="preserve">Mimo Crave Cone Strawberry Rush 120ml </t>
  </si>
  <si>
    <t>Mimo Mango Magic 700ml</t>
  </si>
  <si>
    <t xml:space="preserve">Mimo Mega Bar Almond Crunch 80ml </t>
  </si>
  <si>
    <t>Mimo Mega Bar Alphonso Mango 80ml</t>
  </si>
  <si>
    <t xml:space="preserve">Mimo Mega Bar Chocolate Truffle 80ml </t>
  </si>
  <si>
    <t xml:space="preserve">Mimo Mixed Berries Cup 120ml </t>
  </si>
  <si>
    <t xml:space="preserve">Mimo Pista Almond Cup 120ml </t>
  </si>
  <si>
    <t xml:space="preserve">Mimo Rajbhog Kulfi 50ml </t>
  </si>
  <si>
    <t xml:space="preserve">Mimo Shahi Kulfi 50ml </t>
  </si>
  <si>
    <t xml:space="preserve">Mimo Silk Chocolate Cup 120ml </t>
  </si>
  <si>
    <t>Mimo Vanilla 700ml</t>
  </si>
  <si>
    <t>Belgian Chocolate No Added Sugar 100ml</t>
  </si>
  <si>
    <t>Nic Alphonso Mango No Added Sugar 100ml</t>
  </si>
  <si>
    <t>Nic Alphonso Mango No Added Sugar 500ml</t>
  </si>
  <si>
    <t>Nic Anjeer No Added Sugar 100ml</t>
  </si>
  <si>
    <t>Nic Anjeer No Added Sugar 500ml</t>
  </si>
  <si>
    <t>Nic Belgian Chocolate No Added Sugar 500ml</t>
  </si>
  <si>
    <t>Nic Kesar Pista No Added Sugar 100ml No Added Sugar</t>
  </si>
  <si>
    <t>Nic Kesar Pista No Added Sugar 500ml No Added Sugar</t>
  </si>
  <si>
    <t>Nic Roasted Almond No Added Sugar 100ml</t>
  </si>
  <si>
    <t>Nic Roasted Almond No Added Sugar 500ml</t>
  </si>
  <si>
    <t>Nic Tender Coconut No Added Sugar 100ml</t>
  </si>
  <si>
    <t>Nic Tender Coconut No Added Sugar 500ml</t>
  </si>
  <si>
    <t>Butterscotch - Chocolate - Gud Badaam Slice Kulfi - GK</t>
  </si>
  <si>
    <t>Grameen Slice Kulfi Malai &amp; Kesar Pista &amp; Gud Badaam 90mlX10</t>
  </si>
  <si>
    <t>Grameen Slice Kulfi Thandai &amp; Kesar Pista &amp; Anjeer 90ml X 10</t>
  </si>
  <si>
    <t>Malai - Kesar Pista-Mango Slice Kulfi - GK</t>
  </si>
  <si>
    <t>Malai - Mango - Sitaphal Slice Kulfi - GK</t>
  </si>
  <si>
    <t>NIC Alphonso Mango Sugarless 100ml</t>
  </si>
  <si>
    <t>NIC Anjeer Sugarless 100ml</t>
  </si>
  <si>
    <t>NIC Belgian Chocolate Sugarless 100ml</t>
  </si>
  <si>
    <t>NIC Roasted Almond Sugarless 100ml</t>
  </si>
  <si>
    <t>NIC Tender Coconut Sugarless 100ml</t>
  </si>
  <si>
    <t>NIC Alphonso Mango Sugarless 500ml</t>
  </si>
  <si>
    <t>NIC Anjeer Sugarless 500ml</t>
  </si>
  <si>
    <t>NIC Belgian Chocolate Sugarless 500ml</t>
  </si>
  <si>
    <t>NIC Roasted Almond Sugarless 500ml</t>
  </si>
  <si>
    <t>Yummo Chocoexplosion 60ml X 12</t>
  </si>
  <si>
    <t>Yummo Shahi Kulfi 50ml X 16</t>
  </si>
  <si>
    <t>Yummo Alphonso Mango 1ltr Tub</t>
  </si>
  <si>
    <t>Yummo Butterscotch 1ltr Tub</t>
  </si>
  <si>
    <t>Yummo Choco Delight 1ltr Tub</t>
  </si>
  <si>
    <t>Yummo Strawberry 1ltr Tub</t>
  </si>
  <si>
    <t>Yummo Vanilla 1ltr Tub</t>
  </si>
  <si>
    <t>Gelpro Ice Pack 6*4</t>
  </si>
  <si>
    <t>---</t>
  </si>
  <si>
    <t>CP Matka Kulfi Mango 100ml X 2</t>
  </si>
  <si>
    <t>NIC Nolen Gur Ice Cream 500ml</t>
  </si>
  <si>
    <t>Polythene Bag 1 Kg Y</t>
  </si>
  <si>
    <t>Yummo Crunchy Chocobar 60ml X 1</t>
  </si>
  <si>
    <t>Opening Stock</t>
  </si>
  <si>
    <t>Opening Stock      ( 01/11/2025)</t>
  </si>
  <si>
    <t>Goods Receipt</t>
  </si>
  <si>
    <t>Goods Return</t>
  </si>
  <si>
    <t>Inventory Deducted</t>
  </si>
  <si>
    <t>GRN/Inwards</t>
  </si>
  <si>
    <t xml:space="preserve">Damage Expiry </t>
  </si>
  <si>
    <t>Sale/Outwards</t>
  </si>
  <si>
    <t>Closing Stock ( 30/11/2025)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</si>
</sst>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 * #,##0_ ;_ * \-#,##0_ ;_ * &quot;-&quot;??_ ;_ @_ 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scheme val="minor"/>
    </font>
    <font>
      <sz val="11"/>
      <name val="Calibri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5" tint="0.79998168889431442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6" fillId="0" borderId="0"/>
    <xf numFmtId="0" fontId="1" fillId="0" borderId="0"/>
  </cellStyleXfs>
  <cellXfs count="23">
    <xf numFmtId="0" fontId="0" fillId="0" borderId="0" xfId="0"/>
    <xf numFmtId="49" fontId="2" fillId="2" borderId="1" xfId="0" applyNumberFormat="1" applyFon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0" fillId="0" borderId="1" xfId="0" applyBorder="1"/>
    <xf numFmtId="164" fontId="0" fillId="0" borderId="1" xfId="1" applyNumberFormat="1" applyFont="1" applyBorder="1"/>
    <xf numFmtId="0" fontId="2" fillId="0" borderId="1" xfId="0" applyFont="1" applyBorder="1"/>
    <xf numFmtId="0" fontId="3" fillId="2" borderId="1" xfId="0" applyFont="1" applyFill="1" applyBorder="1"/>
    <xf numFmtId="0" fontId="4" fillId="2" borderId="1" xfId="0" applyFont="1" applyFill="1" applyBorder="1"/>
    <xf numFmtId="0" fontId="0" fillId="2" borderId="1" xfId="0" applyFill="1" applyBorder="1"/>
    <xf numFmtId="0" fontId="3" fillId="0" borderId="1" xfId="0" applyFont="1" applyBorder="1" applyAlignment="1">
      <alignment horizontal="left"/>
    </xf>
    <xf numFmtId="0" fontId="3" fillId="3" borderId="1" xfId="0" applyFont="1" applyFill="1" applyBorder="1"/>
    <xf numFmtId="0" fontId="5" fillId="2" borderId="1" xfId="0" applyFont="1" applyFill="1" applyBorder="1" applyAlignment="1">
      <alignment horizontal="left" vertical="center" wrapText="1"/>
    </xf>
    <xf numFmtId="0" fontId="3" fillId="0" borderId="1" xfId="0" applyFont="1" applyBorder="1"/>
    <xf numFmtId="0" fontId="0" fillId="2" borderId="1" xfId="0" applyFill="1" applyBorder="1" applyAlignment="1">
      <alignment wrapText="1"/>
    </xf>
    <xf numFmtId="0" fontId="0" fillId="2" borderId="2" xfId="0" applyFill="1" applyBorder="1"/>
    <xf numFmtId="0" fontId="7" fillId="3" borderId="1" xfId="2" applyFont="1" applyFill="1" applyBorder="1" applyAlignment="1">
      <alignment vertical="center" wrapText="1"/>
    </xf>
    <xf numFmtId="0" fontId="8" fillId="0" borderId="1" xfId="2" applyFont="1" applyBorder="1" applyAlignment="1">
      <alignment vertical="center" wrapText="1"/>
    </xf>
    <xf numFmtId="0" fontId="9" fillId="0" borderId="1" xfId="2" applyFont="1" applyBorder="1" applyAlignment="1">
      <alignment vertical="center" wrapText="1"/>
    </xf>
    <xf numFmtId="0" fontId="10" fillId="4" borderId="3" xfId="0" applyFont="1" applyFill="1" applyBorder="1"/>
    <xf numFmtId="0" fontId="0" fillId="5" borderId="0" xfId="0" applyFill="1"/>
    <xf numFmtId="0" fontId="11" fillId="6" borderId="1" xfId="3" applyFont="1" applyFill="1" applyBorder="1" applyAlignment="1" applyProtection="1">
      <alignment horizontal="center" vertical="center" wrapText="1"/>
      <protection hidden="1"/>
    </xf>
    <xf numFmtId="0" fontId="0" fillId="0" borderId="0" xfId="0" applyFill="1"/>
  </cellXfs>
  <cellStyles count="4">
    <cellStyle name="Comma" xfId="1" builtinId="3"/>
    <cellStyle name="Normal" xfId="0" builtinId="0"/>
    <cellStyle name="Normal 3" xfId="3"/>
    <cellStyle name="Normal 6" xfId="2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7"/>
  <sheetViews>
    <sheetView tabSelected="1" topLeftCell="B1" workbookViewId="0">
      <selection activeCell="H22" sqref="H22"/>
    </sheetView>
  </sheetViews>
  <sheetFormatPr defaultRowHeight="15"/>
  <cols>
    <col min="1" max="1" width="33.7109375" customWidth="1"/>
    <col min="2" max="2" width="24.28515625" customWidth="1"/>
    <col min="5" max="5" width="23.140625" customWidth="1"/>
    <col min="9" max="9" width="36.42578125" customWidth="1"/>
    <col min="10" max="10" width="20.85546875" customWidth="1"/>
  </cols>
  <sheetData>
    <row r="1" spans="1:14" ht="60">
      <c r="A1" s="20" t="s">
        <v>317</v>
      </c>
      <c r="B1" s="20" t="s">
        <v>513</v>
      </c>
      <c r="C1" s="20" t="s">
        <v>515</v>
      </c>
      <c r="D1" s="20" t="s">
        <v>516</v>
      </c>
      <c r="E1" s="20" t="s">
        <v>517</v>
      </c>
      <c r="F1" s="22"/>
      <c r="I1" s="19" t="s">
        <v>316</v>
      </c>
      <c r="J1" s="21" t="s">
        <v>514</v>
      </c>
      <c r="K1" s="21" t="s">
        <v>518</v>
      </c>
      <c r="L1" s="21" t="s">
        <v>519</v>
      </c>
      <c r="M1" s="21" t="s">
        <v>520</v>
      </c>
      <c r="N1" s="21" t="s">
        <v>521</v>
      </c>
    </row>
    <row r="2" spans="1:14">
      <c r="A2" t="s">
        <v>318</v>
      </c>
      <c r="B2">
        <v>0</v>
      </c>
      <c r="C2">
        <v>0</v>
      </c>
      <c r="D2">
        <v>0</v>
      </c>
      <c r="E2">
        <v>0</v>
      </c>
      <c r="F2" s="4"/>
      <c r="I2" s="1" t="s">
        <v>0</v>
      </c>
      <c r="J2">
        <f>IFERROR(VLOOKUP(I2,A$2:B$357,2,FALSE),0)</f>
        <v>12</v>
      </c>
      <c r="K2">
        <f>IFERROR(VLOOKUP(I2,A$2:C$357,3,FALSE),0)</f>
        <v>30</v>
      </c>
      <c r="L2">
        <f>IFERROR(VLOOKUP(I2,A$2:D$357,4,FALSE),0)</f>
        <v>0</v>
      </c>
      <c r="M2">
        <f>IFERROR(VLOOKUP(I2,A$2:E$357,5,FALSE),0)</f>
        <v>18</v>
      </c>
      <c r="N2" s="4">
        <v>12</v>
      </c>
    </row>
    <row r="3" spans="1:14">
      <c r="A3" t="s">
        <v>319</v>
      </c>
      <c r="B3">
        <v>0</v>
      </c>
      <c r="C3">
        <v>0</v>
      </c>
      <c r="D3">
        <v>0</v>
      </c>
      <c r="E3">
        <v>0</v>
      </c>
      <c r="F3" s="4"/>
      <c r="I3" s="1" t="s">
        <v>1</v>
      </c>
      <c r="J3">
        <f>IFERROR(VLOOKUP(I3,A$2:B$357,2,FALSE),0)</f>
        <v>0</v>
      </c>
      <c r="K3">
        <f>IFERROR(VLOOKUP(I3,A$2:C$357,3,FALSE),0)</f>
        <v>0</v>
      </c>
      <c r="L3">
        <f>IFERROR(VLOOKUP(I3,A$2:D$357,4,FALSE),0)</f>
        <v>0</v>
      </c>
      <c r="M3">
        <f>IFERROR(VLOOKUP(I3,A$2:E$357,5,FALSE),0)</f>
        <v>0</v>
      </c>
      <c r="N3" s="4"/>
    </row>
    <row r="4" spans="1:14">
      <c r="A4" t="s">
        <v>320</v>
      </c>
      <c r="B4">
        <v>0</v>
      </c>
      <c r="C4">
        <v>0</v>
      </c>
      <c r="D4">
        <v>0</v>
      </c>
      <c r="E4">
        <v>0</v>
      </c>
      <c r="F4" s="4"/>
      <c r="I4" s="1" t="s">
        <v>2</v>
      </c>
      <c r="J4">
        <f>IFERROR(VLOOKUP(I4,A$2:B$357,2,FALSE),0)</f>
        <v>8</v>
      </c>
      <c r="K4">
        <f>IFERROR(VLOOKUP(I4,A$2:C$357,3,FALSE),0)</f>
        <v>24</v>
      </c>
      <c r="L4">
        <f>IFERROR(VLOOKUP(I4,A$2:D$357,4,FALSE),0)</f>
        <v>1</v>
      </c>
      <c r="M4">
        <f>IFERROR(VLOOKUP(I4,A$2:E$357,5,FALSE),0)</f>
        <v>19</v>
      </c>
      <c r="N4" s="4">
        <v>8</v>
      </c>
    </row>
    <row r="5" spans="1:14">
      <c r="A5" t="s">
        <v>321</v>
      </c>
      <c r="B5">
        <v>0</v>
      </c>
      <c r="C5">
        <v>0</v>
      </c>
      <c r="D5">
        <v>0</v>
      </c>
      <c r="E5">
        <v>0</v>
      </c>
      <c r="F5" s="4"/>
      <c r="I5" s="1" t="s">
        <v>3</v>
      </c>
      <c r="J5">
        <f t="shared" ref="J5:J68" si="0">IFERROR(VLOOKUP(I5,A$2:B$357,2,FALSE),0)</f>
        <v>0</v>
      </c>
      <c r="K5">
        <f t="shared" ref="K5:K68" si="1">IFERROR(VLOOKUP(I5,A$2:C$357,3,FALSE),0)</f>
        <v>0</v>
      </c>
      <c r="L5">
        <f t="shared" ref="L5:L68" si="2">IFERROR(VLOOKUP(I5,A$2:D$357,4,FALSE),0)</f>
        <v>0</v>
      </c>
      <c r="M5">
        <f t="shared" ref="M5:M68" si="3">IFERROR(VLOOKUP(I5,A$2:E$357,5,FALSE),0)</f>
        <v>0</v>
      </c>
      <c r="N5" s="4"/>
    </row>
    <row r="6" spans="1:14">
      <c r="A6" t="s">
        <v>322</v>
      </c>
      <c r="B6">
        <v>0</v>
      </c>
      <c r="C6">
        <v>0</v>
      </c>
      <c r="D6">
        <v>0</v>
      </c>
      <c r="E6">
        <v>0</v>
      </c>
      <c r="F6" s="4"/>
      <c r="I6" s="1" t="s">
        <v>4</v>
      </c>
      <c r="J6">
        <f t="shared" si="0"/>
        <v>0</v>
      </c>
      <c r="K6">
        <f t="shared" si="1"/>
        <v>0</v>
      </c>
      <c r="L6">
        <f t="shared" si="2"/>
        <v>0</v>
      </c>
      <c r="M6">
        <f t="shared" si="3"/>
        <v>0</v>
      </c>
      <c r="N6" s="4"/>
    </row>
    <row r="7" spans="1:14">
      <c r="A7" t="s">
        <v>323</v>
      </c>
      <c r="B7">
        <v>0</v>
      </c>
      <c r="C7">
        <v>0</v>
      </c>
      <c r="D7">
        <v>0</v>
      </c>
      <c r="E7">
        <v>0</v>
      </c>
      <c r="F7" s="4"/>
      <c r="I7" s="1" t="s">
        <v>5</v>
      </c>
      <c r="J7">
        <f t="shared" si="0"/>
        <v>0</v>
      </c>
      <c r="K7">
        <f t="shared" si="1"/>
        <v>0</v>
      </c>
      <c r="L7">
        <f t="shared" si="2"/>
        <v>0</v>
      </c>
      <c r="M7">
        <f t="shared" si="3"/>
        <v>0</v>
      </c>
      <c r="N7" s="4"/>
    </row>
    <row r="8" spans="1:14">
      <c r="A8" t="s">
        <v>324</v>
      </c>
      <c r="B8">
        <v>0</v>
      </c>
      <c r="C8">
        <v>0</v>
      </c>
      <c r="D8">
        <v>0</v>
      </c>
      <c r="E8">
        <v>0</v>
      </c>
      <c r="F8" s="4"/>
      <c r="I8" s="1" t="s">
        <v>6</v>
      </c>
      <c r="J8">
        <f t="shared" si="0"/>
        <v>-6</v>
      </c>
      <c r="K8">
        <f t="shared" si="1"/>
        <v>54</v>
      </c>
      <c r="L8">
        <f t="shared" si="2"/>
        <v>0</v>
      </c>
      <c r="M8">
        <f t="shared" si="3"/>
        <v>45</v>
      </c>
      <c r="N8" s="4">
        <v>9</v>
      </c>
    </row>
    <row r="9" spans="1:14">
      <c r="A9" t="s">
        <v>325</v>
      </c>
      <c r="B9">
        <v>0</v>
      </c>
      <c r="C9">
        <v>0</v>
      </c>
      <c r="D9">
        <v>0</v>
      </c>
      <c r="E9">
        <v>0</v>
      </c>
      <c r="F9" s="4"/>
      <c r="I9" s="1" t="s">
        <v>7</v>
      </c>
      <c r="J9">
        <f t="shared" si="0"/>
        <v>0</v>
      </c>
      <c r="K9">
        <f t="shared" si="1"/>
        <v>0</v>
      </c>
      <c r="L9">
        <f t="shared" si="2"/>
        <v>0</v>
      </c>
      <c r="M9">
        <f t="shared" si="3"/>
        <v>0</v>
      </c>
      <c r="N9" s="4"/>
    </row>
    <row r="10" spans="1:14">
      <c r="A10" t="s">
        <v>326</v>
      </c>
      <c r="B10">
        <v>0</v>
      </c>
      <c r="C10">
        <v>0</v>
      </c>
      <c r="D10">
        <v>0</v>
      </c>
      <c r="E10">
        <v>0</v>
      </c>
      <c r="F10" s="4"/>
      <c r="I10" s="1" t="s">
        <v>8</v>
      </c>
      <c r="J10">
        <f t="shared" si="0"/>
        <v>0</v>
      </c>
      <c r="K10">
        <f t="shared" si="1"/>
        <v>0</v>
      </c>
      <c r="L10">
        <f t="shared" si="2"/>
        <v>0</v>
      </c>
      <c r="M10">
        <f t="shared" si="3"/>
        <v>0</v>
      </c>
      <c r="N10" s="4"/>
    </row>
    <row r="11" spans="1:14">
      <c r="A11" t="s">
        <v>327</v>
      </c>
      <c r="B11">
        <v>0</v>
      </c>
      <c r="C11">
        <v>0</v>
      </c>
      <c r="D11">
        <v>0</v>
      </c>
      <c r="E11">
        <v>0</v>
      </c>
      <c r="F11" s="4"/>
      <c r="I11" s="1" t="s">
        <v>9</v>
      </c>
      <c r="J11">
        <f t="shared" si="0"/>
        <v>0</v>
      </c>
      <c r="K11">
        <f t="shared" si="1"/>
        <v>0</v>
      </c>
      <c r="L11">
        <f t="shared" si="2"/>
        <v>0</v>
      </c>
      <c r="M11">
        <f t="shared" si="3"/>
        <v>0</v>
      </c>
      <c r="N11" s="4">
        <v>8</v>
      </c>
    </row>
    <row r="12" spans="1:14">
      <c r="A12" t="s">
        <v>328</v>
      </c>
      <c r="B12">
        <v>0</v>
      </c>
      <c r="C12">
        <v>0</v>
      </c>
      <c r="D12">
        <v>0</v>
      </c>
      <c r="E12">
        <v>0</v>
      </c>
      <c r="F12" s="4"/>
      <c r="I12" s="1" t="s">
        <v>10</v>
      </c>
      <c r="J12">
        <f t="shared" si="0"/>
        <v>-9</v>
      </c>
      <c r="K12">
        <f t="shared" si="1"/>
        <v>12</v>
      </c>
      <c r="L12">
        <f t="shared" si="2"/>
        <v>0</v>
      </c>
      <c r="M12">
        <f t="shared" si="3"/>
        <v>4</v>
      </c>
      <c r="N12" s="4"/>
    </row>
    <row r="13" spans="1:14">
      <c r="A13" t="s">
        <v>329</v>
      </c>
      <c r="B13">
        <v>0</v>
      </c>
      <c r="C13">
        <v>0</v>
      </c>
      <c r="D13">
        <v>0</v>
      </c>
      <c r="E13">
        <v>0</v>
      </c>
      <c r="F13" s="4"/>
      <c r="I13" s="1" t="s">
        <v>11</v>
      </c>
      <c r="J13">
        <f t="shared" si="0"/>
        <v>0</v>
      </c>
      <c r="K13">
        <f t="shared" si="1"/>
        <v>0</v>
      </c>
      <c r="L13">
        <f t="shared" si="2"/>
        <v>0</v>
      </c>
      <c r="M13">
        <f t="shared" si="3"/>
        <v>0</v>
      </c>
      <c r="N13" s="4"/>
    </row>
    <row r="14" spans="1:14">
      <c r="A14" t="s">
        <v>330</v>
      </c>
      <c r="B14">
        <v>0</v>
      </c>
      <c r="C14">
        <v>0</v>
      </c>
      <c r="D14">
        <v>0</v>
      </c>
      <c r="E14">
        <v>0</v>
      </c>
      <c r="F14" s="4"/>
      <c r="I14" s="1" t="s">
        <v>12</v>
      </c>
      <c r="J14">
        <f t="shared" si="0"/>
        <v>0</v>
      </c>
      <c r="K14">
        <f t="shared" si="1"/>
        <v>0</v>
      </c>
      <c r="L14">
        <f t="shared" si="2"/>
        <v>0</v>
      </c>
      <c r="M14">
        <f t="shared" si="3"/>
        <v>0</v>
      </c>
      <c r="N14" s="4"/>
    </row>
    <row r="15" spans="1:14">
      <c r="A15" t="s">
        <v>331</v>
      </c>
      <c r="B15">
        <v>0</v>
      </c>
      <c r="C15">
        <v>0</v>
      </c>
      <c r="D15">
        <v>0</v>
      </c>
      <c r="E15">
        <v>0</v>
      </c>
      <c r="F15" s="4"/>
      <c r="I15" s="1" t="s">
        <v>13</v>
      </c>
      <c r="J15">
        <f t="shared" si="0"/>
        <v>0</v>
      </c>
      <c r="K15">
        <f t="shared" si="1"/>
        <v>12</v>
      </c>
      <c r="L15">
        <f t="shared" si="2"/>
        <v>0</v>
      </c>
      <c r="M15">
        <f t="shared" si="3"/>
        <v>8</v>
      </c>
      <c r="N15" s="4">
        <v>4</v>
      </c>
    </row>
    <row r="16" spans="1:14">
      <c r="A16" t="s">
        <v>332</v>
      </c>
      <c r="B16">
        <v>0</v>
      </c>
      <c r="C16">
        <v>0</v>
      </c>
      <c r="D16">
        <v>0</v>
      </c>
      <c r="E16">
        <v>0</v>
      </c>
      <c r="F16" s="4"/>
      <c r="I16" s="1" t="s">
        <v>14</v>
      </c>
      <c r="J16">
        <f t="shared" si="0"/>
        <v>2</v>
      </c>
      <c r="K16">
        <f t="shared" si="1"/>
        <v>18</v>
      </c>
      <c r="L16">
        <f t="shared" si="2"/>
        <v>0</v>
      </c>
      <c r="M16">
        <f t="shared" si="3"/>
        <v>19</v>
      </c>
      <c r="N16" s="4">
        <v>1</v>
      </c>
    </row>
    <row r="17" spans="1:14">
      <c r="A17" t="s">
        <v>333</v>
      </c>
      <c r="B17">
        <v>0</v>
      </c>
      <c r="C17">
        <v>0</v>
      </c>
      <c r="D17">
        <v>0</v>
      </c>
      <c r="E17">
        <v>0</v>
      </c>
      <c r="F17" s="4"/>
      <c r="I17" s="1" t="s">
        <v>15</v>
      </c>
      <c r="J17">
        <f t="shared" si="0"/>
        <v>0</v>
      </c>
      <c r="K17">
        <f t="shared" si="1"/>
        <v>0</v>
      </c>
      <c r="L17">
        <f t="shared" si="2"/>
        <v>0</v>
      </c>
      <c r="M17">
        <f t="shared" si="3"/>
        <v>0</v>
      </c>
      <c r="N17" s="4"/>
    </row>
    <row r="18" spans="1:14">
      <c r="A18" t="s">
        <v>334</v>
      </c>
      <c r="B18">
        <v>0</v>
      </c>
      <c r="C18">
        <v>0</v>
      </c>
      <c r="D18">
        <v>0</v>
      </c>
      <c r="E18">
        <v>0</v>
      </c>
      <c r="F18" s="4"/>
      <c r="I18" s="1" t="s">
        <v>16</v>
      </c>
      <c r="J18">
        <f t="shared" si="0"/>
        <v>0</v>
      </c>
      <c r="K18">
        <f t="shared" si="1"/>
        <v>0</v>
      </c>
      <c r="L18">
        <f t="shared" si="2"/>
        <v>0</v>
      </c>
      <c r="M18">
        <f t="shared" si="3"/>
        <v>0</v>
      </c>
      <c r="N18" s="4"/>
    </row>
    <row r="19" spans="1:14">
      <c r="A19" t="s">
        <v>335</v>
      </c>
      <c r="B19">
        <v>0</v>
      </c>
      <c r="C19">
        <v>0</v>
      </c>
      <c r="D19">
        <v>0</v>
      </c>
      <c r="E19">
        <v>0</v>
      </c>
      <c r="F19" s="4"/>
      <c r="I19" s="1" t="s">
        <v>17</v>
      </c>
      <c r="J19">
        <f t="shared" si="0"/>
        <v>6</v>
      </c>
      <c r="K19">
        <f t="shared" si="1"/>
        <v>12</v>
      </c>
      <c r="L19">
        <f t="shared" si="2"/>
        <v>3</v>
      </c>
      <c r="M19">
        <f t="shared" si="3"/>
        <v>7</v>
      </c>
      <c r="N19" s="4">
        <v>8</v>
      </c>
    </row>
    <row r="20" spans="1:14">
      <c r="A20" t="s">
        <v>336</v>
      </c>
      <c r="B20">
        <v>0</v>
      </c>
      <c r="C20">
        <v>0</v>
      </c>
      <c r="D20">
        <v>0</v>
      </c>
      <c r="E20">
        <v>0</v>
      </c>
      <c r="F20" s="4"/>
      <c r="I20" s="1" t="s">
        <v>18</v>
      </c>
      <c r="J20">
        <f t="shared" si="0"/>
        <v>0</v>
      </c>
      <c r="K20">
        <f t="shared" si="1"/>
        <v>0</v>
      </c>
      <c r="L20">
        <f t="shared" si="2"/>
        <v>0</v>
      </c>
      <c r="M20">
        <f t="shared" si="3"/>
        <v>0</v>
      </c>
      <c r="N20" s="4"/>
    </row>
    <row r="21" spans="1:14">
      <c r="A21" t="s">
        <v>337</v>
      </c>
      <c r="B21">
        <v>0</v>
      </c>
      <c r="C21">
        <v>0</v>
      </c>
      <c r="D21">
        <v>0</v>
      </c>
      <c r="E21">
        <v>0</v>
      </c>
      <c r="F21" s="4"/>
      <c r="I21" s="1" t="s">
        <v>19</v>
      </c>
      <c r="J21">
        <f t="shared" si="0"/>
        <v>0</v>
      </c>
      <c r="K21">
        <f t="shared" si="1"/>
        <v>0</v>
      </c>
      <c r="L21">
        <f t="shared" si="2"/>
        <v>0</v>
      </c>
      <c r="M21">
        <f t="shared" si="3"/>
        <v>0</v>
      </c>
      <c r="N21" s="4"/>
    </row>
    <row r="22" spans="1:14">
      <c r="A22" t="s">
        <v>338</v>
      </c>
      <c r="B22">
        <v>0</v>
      </c>
      <c r="C22">
        <v>0</v>
      </c>
      <c r="D22">
        <v>0</v>
      </c>
      <c r="E22">
        <v>0</v>
      </c>
      <c r="F22" s="4"/>
      <c r="I22" s="1" t="s">
        <v>20</v>
      </c>
      <c r="J22">
        <f t="shared" si="0"/>
        <v>0</v>
      </c>
      <c r="K22">
        <f t="shared" si="1"/>
        <v>0</v>
      </c>
      <c r="L22">
        <f t="shared" si="2"/>
        <v>0</v>
      </c>
      <c r="M22">
        <f t="shared" si="3"/>
        <v>0</v>
      </c>
      <c r="N22" s="4"/>
    </row>
    <row r="23" spans="1:14">
      <c r="A23" t="s">
        <v>339</v>
      </c>
      <c r="B23">
        <v>0</v>
      </c>
      <c r="C23">
        <v>0</v>
      </c>
      <c r="D23">
        <v>0</v>
      </c>
      <c r="E23">
        <v>0</v>
      </c>
      <c r="F23" s="4"/>
      <c r="I23" s="1" t="s">
        <v>21</v>
      </c>
      <c r="J23">
        <f t="shared" si="0"/>
        <v>0</v>
      </c>
      <c r="K23">
        <f t="shared" si="1"/>
        <v>0</v>
      </c>
      <c r="L23">
        <f t="shared" si="2"/>
        <v>0</v>
      </c>
      <c r="M23">
        <f t="shared" si="3"/>
        <v>0</v>
      </c>
      <c r="N23" s="4"/>
    </row>
    <row r="24" spans="1:14">
      <c r="A24" t="s">
        <v>340</v>
      </c>
      <c r="B24">
        <v>0</v>
      </c>
      <c r="C24">
        <v>0</v>
      </c>
      <c r="D24">
        <v>0</v>
      </c>
      <c r="E24">
        <v>0</v>
      </c>
      <c r="F24" s="4"/>
      <c r="I24" s="1" t="s">
        <v>22</v>
      </c>
      <c r="J24">
        <f t="shared" si="0"/>
        <v>0</v>
      </c>
      <c r="K24">
        <f t="shared" si="1"/>
        <v>0</v>
      </c>
      <c r="L24">
        <f t="shared" si="2"/>
        <v>0</v>
      </c>
      <c r="M24">
        <f t="shared" si="3"/>
        <v>0</v>
      </c>
      <c r="N24" s="4"/>
    </row>
    <row r="25" spans="1:14">
      <c r="A25" t="s">
        <v>341</v>
      </c>
      <c r="B25">
        <v>0</v>
      </c>
      <c r="C25">
        <v>0</v>
      </c>
      <c r="D25">
        <v>0</v>
      </c>
      <c r="E25">
        <v>0</v>
      </c>
      <c r="F25" s="4"/>
      <c r="I25" s="1" t="s">
        <v>23</v>
      </c>
      <c r="J25">
        <f t="shared" si="0"/>
        <v>0</v>
      </c>
      <c r="K25">
        <f t="shared" si="1"/>
        <v>0</v>
      </c>
      <c r="L25">
        <f t="shared" si="2"/>
        <v>0</v>
      </c>
      <c r="M25">
        <f t="shared" si="3"/>
        <v>0</v>
      </c>
      <c r="N25" s="4"/>
    </row>
    <row r="26" spans="1:14">
      <c r="A26" t="s">
        <v>342</v>
      </c>
      <c r="B26">
        <v>0</v>
      </c>
      <c r="C26">
        <v>0</v>
      </c>
      <c r="D26">
        <v>0</v>
      </c>
      <c r="E26">
        <v>0</v>
      </c>
      <c r="F26" s="4"/>
      <c r="I26" s="1" t="s">
        <v>24</v>
      </c>
      <c r="J26">
        <f t="shared" si="0"/>
        <v>0</v>
      </c>
      <c r="K26">
        <f t="shared" si="1"/>
        <v>0</v>
      </c>
      <c r="L26">
        <f t="shared" si="2"/>
        <v>0</v>
      </c>
      <c r="M26">
        <f t="shared" si="3"/>
        <v>0</v>
      </c>
      <c r="N26" s="4"/>
    </row>
    <row r="27" spans="1:14">
      <c r="A27" t="s">
        <v>343</v>
      </c>
      <c r="B27">
        <v>0</v>
      </c>
      <c r="C27">
        <v>0</v>
      </c>
      <c r="D27">
        <v>0</v>
      </c>
      <c r="E27">
        <v>0</v>
      </c>
      <c r="F27" s="4"/>
      <c r="I27" s="1" t="s">
        <v>25</v>
      </c>
      <c r="J27">
        <f t="shared" si="0"/>
        <v>0</v>
      </c>
      <c r="K27">
        <f t="shared" si="1"/>
        <v>0</v>
      </c>
      <c r="L27">
        <f t="shared" si="2"/>
        <v>0</v>
      </c>
      <c r="M27">
        <f t="shared" si="3"/>
        <v>0</v>
      </c>
      <c r="N27" s="4"/>
    </row>
    <row r="28" spans="1:14">
      <c r="A28" t="s">
        <v>344</v>
      </c>
      <c r="B28">
        <v>0</v>
      </c>
      <c r="C28">
        <v>0</v>
      </c>
      <c r="D28">
        <v>0</v>
      </c>
      <c r="E28">
        <v>0</v>
      </c>
      <c r="F28" s="4"/>
      <c r="I28" s="1" t="s">
        <v>26</v>
      </c>
      <c r="J28">
        <f t="shared" si="0"/>
        <v>0</v>
      </c>
      <c r="K28">
        <f t="shared" si="1"/>
        <v>0</v>
      </c>
      <c r="L28">
        <f t="shared" si="2"/>
        <v>0</v>
      </c>
      <c r="M28">
        <f t="shared" si="3"/>
        <v>0</v>
      </c>
      <c r="N28" s="4"/>
    </row>
    <row r="29" spans="1:14">
      <c r="A29" t="s">
        <v>345</v>
      </c>
      <c r="B29">
        <v>0</v>
      </c>
      <c r="C29">
        <v>0</v>
      </c>
      <c r="D29">
        <v>0</v>
      </c>
      <c r="E29">
        <v>0</v>
      </c>
      <c r="F29" s="4"/>
      <c r="I29" s="1" t="s">
        <v>27</v>
      </c>
      <c r="J29">
        <f t="shared" si="0"/>
        <v>2</v>
      </c>
      <c r="K29">
        <f t="shared" si="1"/>
        <v>0</v>
      </c>
      <c r="L29">
        <f t="shared" si="2"/>
        <v>0</v>
      </c>
      <c r="M29">
        <f t="shared" si="3"/>
        <v>4</v>
      </c>
      <c r="N29" s="4"/>
    </row>
    <row r="30" spans="1:14">
      <c r="A30" t="s">
        <v>346</v>
      </c>
      <c r="B30">
        <v>0</v>
      </c>
      <c r="C30">
        <v>0</v>
      </c>
      <c r="D30">
        <v>0</v>
      </c>
      <c r="E30">
        <v>0</v>
      </c>
      <c r="F30" s="4"/>
      <c r="I30" s="1" t="s">
        <v>28</v>
      </c>
      <c r="J30">
        <f t="shared" si="0"/>
        <v>0</v>
      </c>
      <c r="K30">
        <f t="shared" si="1"/>
        <v>0</v>
      </c>
      <c r="L30">
        <f t="shared" si="2"/>
        <v>0</v>
      </c>
      <c r="M30">
        <f t="shared" si="3"/>
        <v>0</v>
      </c>
      <c r="N30" s="4"/>
    </row>
    <row r="31" spans="1:14">
      <c r="A31" t="s">
        <v>347</v>
      </c>
      <c r="B31">
        <v>0</v>
      </c>
      <c r="C31">
        <v>0</v>
      </c>
      <c r="D31">
        <v>0</v>
      </c>
      <c r="E31">
        <v>0</v>
      </c>
      <c r="F31" s="4"/>
      <c r="I31" s="1" t="s">
        <v>29</v>
      </c>
      <c r="J31">
        <f t="shared" si="0"/>
        <v>1</v>
      </c>
      <c r="K31">
        <f t="shared" si="1"/>
        <v>0</v>
      </c>
      <c r="L31">
        <f t="shared" si="2"/>
        <v>0</v>
      </c>
      <c r="M31">
        <f t="shared" si="3"/>
        <v>0</v>
      </c>
      <c r="N31" s="4"/>
    </row>
    <row r="32" spans="1:14">
      <c r="A32" t="s">
        <v>348</v>
      </c>
      <c r="B32">
        <v>0</v>
      </c>
      <c r="C32">
        <v>0</v>
      </c>
      <c r="D32">
        <v>0</v>
      </c>
      <c r="E32">
        <v>0</v>
      </c>
      <c r="F32" s="4"/>
      <c r="I32" s="1" t="s">
        <v>30</v>
      </c>
      <c r="J32">
        <f t="shared" si="0"/>
        <v>9</v>
      </c>
      <c r="K32">
        <f t="shared" si="1"/>
        <v>18</v>
      </c>
      <c r="L32">
        <f t="shared" si="2"/>
        <v>8</v>
      </c>
      <c r="M32">
        <f t="shared" si="3"/>
        <v>18</v>
      </c>
      <c r="N32" s="4"/>
    </row>
    <row r="33" spans="1:14">
      <c r="A33" t="s">
        <v>349</v>
      </c>
      <c r="B33">
        <v>0</v>
      </c>
      <c r="C33">
        <v>0</v>
      </c>
      <c r="D33">
        <v>0</v>
      </c>
      <c r="E33">
        <v>0</v>
      </c>
      <c r="F33" s="4"/>
      <c r="I33" s="1" t="s">
        <v>31</v>
      </c>
      <c r="J33">
        <f t="shared" si="0"/>
        <v>0</v>
      </c>
      <c r="K33">
        <f t="shared" si="1"/>
        <v>0</v>
      </c>
      <c r="L33">
        <f t="shared" si="2"/>
        <v>0</v>
      </c>
      <c r="M33">
        <f t="shared" si="3"/>
        <v>0</v>
      </c>
      <c r="N33" s="4"/>
    </row>
    <row r="34" spans="1:14">
      <c r="A34" t="s">
        <v>350</v>
      </c>
      <c r="B34">
        <v>0</v>
      </c>
      <c r="C34">
        <v>0</v>
      </c>
      <c r="D34">
        <v>0</v>
      </c>
      <c r="E34">
        <v>0</v>
      </c>
      <c r="F34" s="4"/>
      <c r="I34" s="1" t="s">
        <v>32</v>
      </c>
      <c r="J34">
        <f t="shared" si="0"/>
        <v>0</v>
      </c>
      <c r="K34">
        <f t="shared" si="1"/>
        <v>0</v>
      </c>
      <c r="L34">
        <f t="shared" si="2"/>
        <v>0</v>
      </c>
      <c r="M34">
        <f t="shared" si="3"/>
        <v>0</v>
      </c>
      <c r="N34" s="4"/>
    </row>
    <row r="35" spans="1:14">
      <c r="A35" t="s">
        <v>351</v>
      </c>
      <c r="B35">
        <v>0</v>
      </c>
      <c r="C35">
        <v>0</v>
      </c>
      <c r="D35">
        <v>0</v>
      </c>
      <c r="E35">
        <v>0</v>
      </c>
      <c r="F35" s="4"/>
      <c r="I35" s="1" t="s">
        <v>33</v>
      </c>
      <c r="J35">
        <f t="shared" si="0"/>
        <v>0</v>
      </c>
      <c r="K35">
        <f t="shared" si="1"/>
        <v>0</v>
      </c>
      <c r="L35">
        <f t="shared" si="2"/>
        <v>0</v>
      </c>
      <c r="M35">
        <f t="shared" si="3"/>
        <v>0</v>
      </c>
      <c r="N35" s="4"/>
    </row>
    <row r="36" spans="1:14">
      <c r="A36" t="s">
        <v>352</v>
      </c>
      <c r="B36">
        <v>0</v>
      </c>
      <c r="C36">
        <v>0</v>
      </c>
      <c r="D36">
        <v>0</v>
      </c>
      <c r="E36">
        <v>0</v>
      </c>
      <c r="F36" s="4"/>
      <c r="I36" s="1" t="s">
        <v>34</v>
      </c>
      <c r="J36">
        <f t="shared" si="0"/>
        <v>0</v>
      </c>
      <c r="K36">
        <f t="shared" si="1"/>
        <v>0</v>
      </c>
      <c r="L36">
        <f t="shared" si="2"/>
        <v>0</v>
      </c>
      <c r="M36">
        <f t="shared" si="3"/>
        <v>0</v>
      </c>
      <c r="N36" s="4"/>
    </row>
    <row r="37" spans="1:14">
      <c r="A37" t="s">
        <v>353</v>
      </c>
      <c r="B37">
        <v>0</v>
      </c>
      <c r="C37">
        <v>0</v>
      </c>
      <c r="D37">
        <v>0</v>
      </c>
      <c r="E37">
        <v>0</v>
      </c>
      <c r="F37" s="4"/>
      <c r="I37" s="1" t="s">
        <v>35</v>
      </c>
      <c r="J37">
        <f t="shared" si="0"/>
        <v>0</v>
      </c>
      <c r="K37">
        <f t="shared" si="1"/>
        <v>12</v>
      </c>
      <c r="L37">
        <f t="shared" si="2"/>
        <v>0</v>
      </c>
      <c r="M37">
        <f t="shared" si="3"/>
        <v>8</v>
      </c>
      <c r="N37" s="4">
        <v>4</v>
      </c>
    </row>
    <row r="38" spans="1:14">
      <c r="A38" t="s">
        <v>354</v>
      </c>
      <c r="B38">
        <v>10</v>
      </c>
      <c r="C38">
        <v>0</v>
      </c>
      <c r="D38">
        <v>0</v>
      </c>
      <c r="E38">
        <v>9</v>
      </c>
      <c r="F38" s="4"/>
      <c r="I38" s="1" t="s">
        <v>36</v>
      </c>
      <c r="J38">
        <f t="shared" si="0"/>
        <v>0</v>
      </c>
      <c r="K38">
        <f t="shared" si="1"/>
        <v>0</v>
      </c>
      <c r="L38">
        <f t="shared" si="2"/>
        <v>0</v>
      </c>
      <c r="M38">
        <f t="shared" si="3"/>
        <v>0</v>
      </c>
      <c r="N38" s="4"/>
    </row>
    <row r="39" spans="1:14">
      <c r="A39" t="s">
        <v>355</v>
      </c>
      <c r="B39">
        <v>0</v>
      </c>
      <c r="C39">
        <v>0</v>
      </c>
      <c r="D39">
        <v>0</v>
      </c>
      <c r="E39">
        <v>0</v>
      </c>
      <c r="F39" s="4"/>
      <c r="I39" s="1" t="s">
        <v>37</v>
      </c>
      <c r="J39">
        <f t="shared" si="0"/>
        <v>0</v>
      </c>
      <c r="K39">
        <f t="shared" si="1"/>
        <v>0</v>
      </c>
      <c r="L39">
        <f t="shared" si="2"/>
        <v>0</v>
      </c>
      <c r="M39">
        <f t="shared" si="3"/>
        <v>0</v>
      </c>
      <c r="N39" s="4"/>
    </row>
    <row r="40" spans="1:14">
      <c r="A40" t="s">
        <v>356</v>
      </c>
      <c r="B40">
        <v>4</v>
      </c>
      <c r="C40">
        <v>6</v>
      </c>
      <c r="D40">
        <v>0</v>
      </c>
      <c r="E40">
        <v>2</v>
      </c>
      <c r="F40" s="4"/>
      <c r="I40" s="1" t="s">
        <v>38</v>
      </c>
      <c r="J40">
        <f t="shared" si="0"/>
        <v>5</v>
      </c>
      <c r="K40">
        <f t="shared" si="1"/>
        <v>18</v>
      </c>
      <c r="L40">
        <f t="shared" si="2"/>
        <v>0</v>
      </c>
      <c r="M40">
        <f t="shared" si="3"/>
        <v>14</v>
      </c>
      <c r="N40" s="4">
        <v>3</v>
      </c>
    </row>
    <row r="41" spans="1:14">
      <c r="A41" t="s">
        <v>357</v>
      </c>
      <c r="B41">
        <v>0</v>
      </c>
      <c r="C41">
        <v>21</v>
      </c>
      <c r="D41">
        <v>0</v>
      </c>
      <c r="E41">
        <v>13</v>
      </c>
      <c r="F41" s="4"/>
      <c r="I41" s="1" t="s">
        <v>39</v>
      </c>
      <c r="J41">
        <f t="shared" si="0"/>
        <v>9</v>
      </c>
      <c r="K41">
        <f t="shared" si="1"/>
        <v>12</v>
      </c>
      <c r="L41">
        <f t="shared" si="2"/>
        <v>0</v>
      </c>
      <c r="M41">
        <f t="shared" si="3"/>
        <v>11</v>
      </c>
      <c r="N41" s="4">
        <v>7</v>
      </c>
    </row>
    <row r="42" spans="1:14">
      <c r="A42" t="s">
        <v>358</v>
      </c>
      <c r="B42">
        <v>0</v>
      </c>
      <c r="C42">
        <v>16</v>
      </c>
      <c r="D42">
        <v>0</v>
      </c>
      <c r="E42">
        <v>10</v>
      </c>
      <c r="F42" s="4"/>
      <c r="I42" s="1" t="s">
        <v>40</v>
      </c>
      <c r="J42">
        <f t="shared" si="0"/>
        <v>0</v>
      </c>
      <c r="K42">
        <f t="shared" si="1"/>
        <v>0</v>
      </c>
      <c r="L42">
        <f t="shared" si="2"/>
        <v>0</v>
      </c>
      <c r="M42">
        <f t="shared" si="3"/>
        <v>0</v>
      </c>
      <c r="N42" s="4"/>
    </row>
    <row r="43" spans="1:14">
      <c r="A43" t="s">
        <v>359</v>
      </c>
      <c r="B43">
        <v>0</v>
      </c>
      <c r="C43">
        <v>20</v>
      </c>
      <c r="D43">
        <v>0</v>
      </c>
      <c r="E43">
        <v>0</v>
      </c>
      <c r="F43" s="4"/>
      <c r="I43" s="1" t="s">
        <v>41</v>
      </c>
      <c r="J43">
        <f t="shared" si="0"/>
        <v>1</v>
      </c>
      <c r="K43">
        <f t="shared" si="1"/>
        <v>0</v>
      </c>
      <c r="L43">
        <f t="shared" si="2"/>
        <v>0</v>
      </c>
      <c r="M43">
        <f t="shared" si="3"/>
        <v>0</v>
      </c>
      <c r="N43" s="4"/>
    </row>
    <row r="44" spans="1:14">
      <c r="A44" t="s">
        <v>360</v>
      </c>
      <c r="B44">
        <v>16</v>
      </c>
      <c r="C44">
        <v>20</v>
      </c>
      <c r="D44">
        <v>0</v>
      </c>
      <c r="E44">
        <v>17</v>
      </c>
      <c r="F44" s="4"/>
      <c r="I44" s="1" t="s">
        <v>42</v>
      </c>
      <c r="J44">
        <f t="shared" si="0"/>
        <v>0</v>
      </c>
      <c r="K44">
        <f t="shared" si="1"/>
        <v>0</v>
      </c>
      <c r="L44">
        <f t="shared" si="2"/>
        <v>0</v>
      </c>
      <c r="M44">
        <f t="shared" si="3"/>
        <v>0</v>
      </c>
      <c r="N44" s="4"/>
    </row>
    <row r="45" spans="1:14">
      <c r="A45" t="s">
        <v>361</v>
      </c>
      <c r="B45">
        <v>12</v>
      </c>
      <c r="C45">
        <v>20</v>
      </c>
      <c r="D45">
        <v>0</v>
      </c>
      <c r="E45">
        <v>7</v>
      </c>
      <c r="F45" s="4"/>
      <c r="I45" s="1" t="s">
        <v>43</v>
      </c>
      <c r="J45">
        <f t="shared" si="0"/>
        <v>-1</v>
      </c>
      <c r="K45">
        <f t="shared" si="1"/>
        <v>12</v>
      </c>
      <c r="L45">
        <f t="shared" si="2"/>
        <v>0</v>
      </c>
      <c r="M45">
        <f t="shared" si="3"/>
        <v>8</v>
      </c>
      <c r="N45" s="4">
        <v>4</v>
      </c>
    </row>
    <row r="46" spans="1:14">
      <c r="A46" t="s">
        <v>0</v>
      </c>
      <c r="B46">
        <v>12</v>
      </c>
      <c r="C46">
        <v>30</v>
      </c>
      <c r="D46">
        <v>0</v>
      </c>
      <c r="E46">
        <v>18</v>
      </c>
      <c r="F46" s="4"/>
      <c r="I46" s="1" t="s">
        <v>44</v>
      </c>
      <c r="J46">
        <f t="shared" si="0"/>
        <v>5</v>
      </c>
      <c r="K46">
        <f t="shared" si="1"/>
        <v>6</v>
      </c>
      <c r="L46">
        <f t="shared" si="2"/>
        <v>2</v>
      </c>
      <c r="M46">
        <f t="shared" si="3"/>
        <v>9</v>
      </c>
      <c r="N46" s="4">
        <v>2</v>
      </c>
    </row>
    <row r="47" spans="1:14">
      <c r="A47" t="s">
        <v>49</v>
      </c>
      <c r="B47">
        <v>-1</v>
      </c>
      <c r="C47">
        <v>0</v>
      </c>
      <c r="D47">
        <v>0</v>
      </c>
      <c r="E47">
        <v>0</v>
      </c>
      <c r="F47" s="4"/>
      <c r="I47" s="1" t="s">
        <v>45</v>
      </c>
      <c r="J47">
        <f t="shared" si="0"/>
        <v>8</v>
      </c>
      <c r="K47">
        <f t="shared" si="1"/>
        <v>43</v>
      </c>
      <c r="L47">
        <f t="shared" si="2"/>
        <v>0</v>
      </c>
      <c r="M47">
        <f t="shared" si="3"/>
        <v>45</v>
      </c>
      <c r="N47" s="4">
        <v>2</v>
      </c>
    </row>
    <row r="48" spans="1:14">
      <c r="A48" t="s">
        <v>1</v>
      </c>
      <c r="B48">
        <v>0</v>
      </c>
      <c r="C48">
        <v>0</v>
      </c>
      <c r="D48">
        <v>0</v>
      </c>
      <c r="E48">
        <v>0</v>
      </c>
      <c r="F48" s="4"/>
      <c r="I48" s="1" t="s">
        <v>46</v>
      </c>
      <c r="J48">
        <f t="shared" si="0"/>
        <v>0</v>
      </c>
      <c r="K48">
        <f t="shared" si="1"/>
        <v>0</v>
      </c>
      <c r="L48">
        <f t="shared" si="2"/>
        <v>0</v>
      </c>
      <c r="M48">
        <f t="shared" si="3"/>
        <v>0</v>
      </c>
      <c r="N48" s="4"/>
    </row>
    <row r="49" spans="1:14">
      <c r="A49" t="s">
        <v>2</v>
      </c>
      <c r="B49">
        <v>8</v>
      </c>
      <c r="C49">
        <v>24</v>
      </c>
      <c r="D49">
        <v>1</v>
      </c>
      <c r="E49">
        <v>19</v>
      </c>
      <c r="F49" s="4"/>
      <c r="I49" s="1" t="s">
        <v>47</v>
      </c>
      <c r="J49">
        <f t="shared" si="0"/>
        <v>0</v>
      </c>
      <c r="K49">
        <f t="shared" si="1"/>
        <v>0</v>
      </c>
      <c r="L49">
        <f t="shared" si="2"/>
        <v>0</v>
      </c>
      <c r="M49">
        <f t="shared" si="3"/>
        <v>0</v>
      </c>
      <c r="N49" s="4"/>
    </row>
    <row r="50" spans="1:14">
      <c r="A50" t="s">
        <v>362</v>
      </c>
      <c r="B50">
        <v>0</v>
      </c>
      <c r="C50">
        <v>0</v>
      </c>
      <c r="D50">
        <v>0</v>
      </c>
      <c r="E50">
        <v>0</v>
      </c>
      <c r="F50" s="4"/>
      <c r="I50" s="1" t="s">
        <v>48</v>
      </c>
      <c r="J50">
        <f t="shared" si="0"/>
        <v>0</v>
      </c>
      <c r="K50">
        <f t="shared" si="1"/>
        <v>0</v>
      </c>
      <c r="L50">
        <f t="shared" si="2"/>
        <v>0</v>
      </c>
      <c r="M50">
        <f t="shared" si="3"/>
        <v>0</v>
      </c>
      <c r="N50" s="4"/>
    </row>
    <row r="51" spans="1:14">
      <c r="A51" t="s">
        <v>5</v>
      </c>
      <c r="B51">
        <v>0</v>
      </c>
      <c r="C51">
        <v>0</v>
      </c>
      <c r="D51">
        <v>0</v>
      </c>
      <c r="E51">
        <v>0</v>
      </c>
      <c r="F51" s="4"/>
      <c r="I51" s="1" t="s">
        <v>49</v>
      </c>
      <c r="J51">
        <f t="shared" si="0"/>
        <v>-1</v>
      </c>
      <c r="K51">
        <f t="shared" si="1"/>
        <v>0</v>
      </c>
      <c r="L51">
        <f t="shared" si="2"/>
        <v>0</v>
      </c>
      <c r="M51">
        <f t="shared" si="3"/>
        <v>0</v>
      </c>
      <c r="N51" s="4"/>
    </row>
    <row r="52" spans="1:14">
      <c r="A52" t="s">
        <v>6</v>
      </c>
      <c r="B52">
        <v>-6</v>
      </c>
      <c r="C52">
        <v>54</v>
      </c>
      <c r="D52">
        <v>0</v>
      </c>
      <c r="E52">
        <v>45</v>
      </c>
      <c r="F52" s="4"/>
      <c r="I52" s="1" t="s">
        <v>50</v>
      </c>
      <c r="J52">
        <f t="shared" si="0"/>
        <v>0</v>
      </c>
      <c r="K52">
        <f t="shared" si="1"/>
        <v>0</v>
      </c>
      <c r="L52">
        <f t="shared" si="2"/>
        <v>0</v>
      </c>
      <c r="M52">
        <f t="shared" si="3"/>
        <v>0</v>
      </c>
      <c r="N52" s="4"/>
    </row>
    <row r="53" spans="1:14">
      <c r="A53" t="s">
        <v>10</v>
      </c>
      <c r="B53">
        <v>-9</v>
      </c>
      <c r="C53">
        <v>12</v>
      </c>
      <c r="D53">
        <v>0</v>
      </c>
      <c r="E53">
        <v>4</v>
      </c>
      <c r="F53" s="4"/>
      <c r="I53" s="1" t="s">
        <v>51</v>
      </c>
      <c r="J53">
        <f t="shared" si="0"/>
        <v>0</v>
      </c>
      <c r="K53">
        <f t="shared" si="1"/>
        <v>0</v>
      </c>
      <c r="L53">
        <f t="shared" si="2"/>
        <v>0</v>
      </c>
      <c r="M53">
        <f t="shared" si="3"/>
        <v>0</v>
      </c>
      <c r="N53" s="4"/>
    </row>
    <row r="54" spans="1:14">
      <c r="A54" t="s">
        <v>13</v>
      </c>
      <c r="B54">
        <v>0</v>
      </c>
      <c r="C54">
        <v>12</v>
      </c>
      <c r="D54">
        <v>0</v>
      </c>
      <c r="E54">
        <v>8</v>
      </c>
      <c r="F54" s="4"/>
      <c r="I54" s="1" t="s">
        <v>52</v>
      </c>
      <c r="J54">
        <f t="shared" si="0"/>
        <v>0</v>
      </c>
      <c r="K54">
        <f t="shared" si="1"/>
        <v>0</v>
      </c>
      <c r="L54">
        <f t="shared" si="2"/>
        <v>0</v>
      </c>
      <c r="M54">
        <f t="shared" si="3"/>
        <v>0</v>
      </c>
      <c r="N54" s="4"/>
    </row>
    <row r="55" spans="1:14">
      <c r="A55" t="s">
        <v>14</v>
      </c>
      <c r="B55">
        <v>2</v>
      </c>
      <c r="C55">
        <v>18</v>
      </c>
      <c r="D55">
        <v>0</v>
      </c>
      <c r="E55">
        <v>19</v>
      </c>
      <c r="F55" s="4"/>
      <c r="I55" s="1" t="s">
        <v>53</v>
      </c>
      <c r="J55">
        <f t="shared" si="0"/>
        <v>0</v>
      </c>
      <c r="K55">
        <f t="shared" si="1"/>
        <v>0</v>
      </c>
      <c r="L55">
        <f t="shared" si="2"/>
        <v>0</v>
      </c>
      <c r="M55">
        <f t="shared" si="3"/>
        <v>0</v>
      </c>
      <c r="N55" s="4"/>
    </row>
    <row r="56" spans="1:14">
      <c r="A56" t="s">
        <v>15</v>
      </c>
      <c r="B56">
        <v>0</v>
      </c>
      <c r="C56">
        <v>0</v>
      </c>
      <c r="D56">
        <v>0</v>
      </c>
      <c r="E56">
        <v>0</v>
      </c>
      <c r="F56" s="4"/>
      <c r="I56" s="2" t="s">
        <v>54</v>
      </c>
      <c r="J56">
        <f t="shared" si="0"/>
        <v>0</v>
      </c>
      <c r="K56">
        <f t="shared" si="1"/>
        <v>12</v>
      </c>
      <c r="L56">
        <f t="shared" si="2"/>
        <v>0</v>
      </c>
      <c r="M56">
        <f t="shared" si="3"/>
        <v>7</v>
      </c>
      <c r="N56" s="4">
        <v>5</v>
      </c>
    </row>
    <row r="57" spans="1:14">
      <c r="A57" t="s">
        <v>17</v>
      </c>
      <c r="B57">
        <v>6</v>
      </c>
      <c r="C57">
        <v>12</v>
      </c>
      <c r="D57">
        <v>3</v>
      </c>
      <c r="E57">
        <v>7</v>
      </c>
      <c r="F57" s="4"/>
      <c r="I57" s="2" t="s">
        <v>55</v>
      </c>
      <c r="J57">
        <f t="shared" si="0"/>
        <v>0</v>
      </c>
      <c r="K57">
        <f t="shared" si="1"/>
        <v>0</v>
      </c>
      <c r="L57">
        <f t="shared" si="2"/>
        <v>0</v>
      </c>
      <c r="M57">
        <f t="shared" si="3"/>
        <v>0</v>
      </c>
      <c r="N57" s="4"/>
    </row>
    <row r="58" spans="1:14">
      <c r="A58" t="s">
        <v>24</v>
      </c>
      <c r="B58">
        <v>0</v>
      </c>
      <c r="C58">
        <v>0</v>
      </c>
      <c r="D58">
        <v>0</v>
      </c>
      <c r="E58">
        <v>0</v>
      </c>
      <c r="F58" s="4"/>
      <c r="I58" s="2" t="s">
        <v>56</v>
      </c>
      <c r="J58">
        <f t="shared" si="0"/>
        <v>0</v>
      </c>
      <c r="K58">
        <f t="shared" si="1"/>
        <v>18</v>
      </c>
      <c r="L58">
        <f t="shared" si="2"/>
        <v>0</v>
      </c>
      <c r="M58">
        <f t="shared" si="3"/>
        <v>16</v>
      </c>
      <c r="N58" s="4">
        <v>4</v>
      </c>
    </row>
    <row r="59" spans="1:14">
      <c r="A59" t="s">
        <v>26</v>
      </c>
      <c r="B59">
        <v>0</v>
      </c>
      <c r="C59">
        <v>0</v>
      </c>
      <c r="D59">
        <v>0</v>
      </c>
      <c r="E59">
        <v>0</v>
      </c>
      <c r="F59" s="4"/>
      <c r="I59" s="2" t="s">
        <v>57</v>
      </c>
      <c r="J59">
        <f t="shared" si="0"/>
        <v>-3</v>
      </c>
      <c r="K59">
        <f t="shared" si="1"/>
        <v>12</v>
      </c>
      <c r="L59">
        <f t="shared" si="2"/>
        <v>0</v>
      </c>
      <c r="M59">
        <f t="shared" si="3"/>
        <v>4</v>
      </c>
      <c r="N59" s="4">
        <v>6</v>
      </c>
    </row>
    <row r="60" spans="1:14">
      <c r="A60" t="s">
        <v>50</v>
      </c>
      <c r="B60">
        <v>0</v>
      </c>
      <c r="C60">
        <v>0</v>
      </c>
      <c r="D60">
        <v>0</v>
      </c>
      <c r="E60">
        <v>0</v>
      </c>
      <c r="F60" s="4"/>
      <c r="I60" s="2" t="s">
        <v>58</v>
      </c>
      <c r="J60">
        <f t="shared" si="0"/>
        <v>0</v>
      </c>
      <c r="K60">
        <f t="shared" si="1"/>
        <v>0</v>
      </c>
      <c r="L60">
        <f t="shared" si="2"/>
        <v>0</v>
      </c>
      <c r="M60">
        <f t="shared" si="3"/>
        <v>0</v>
      </c>
      <c r="N60" s="4"/>
    </row>
    <row r="61" spans="1:14">
      <c r="A61" t="s">
        <v>27</v>
      </c>
      <c r="B61">
        <v>2</v>
      </c>
      <c r="C61">
        <v>0</v>
      </c>
      <c r="D61">
        <v>0</v>
      </c>
      <c r="E61">
        <v>4</v>
      </c>
      <c r="F61" s="4"/>
      <c r="I61" s="2" t="s">
        <v>59</v>
      </c>
      <c r="J61">
        <f t="shared" si="0"/>
        <v>0</v>
      </c>
      <c r="K61">
        <f t="shared" si="1"/>
        <v>0</v>
      </c>
      <c r="L61">
        <f t="shared" si="2"/>
        <v>0</v>
      </c>
      <c r="M61">
        <f t="shared" si="3"/>
        <v>0</v>
      </c>
      <c r="N61" s="4"/>
    </row>
    <row r="62" spans="1:14">
      <c r="A62" t="s">
        <v>29</v>
      </c>
      <c r="B62">
        <v>1</v>
      </c>
      <c r="C62">
        <v>0</v>
      </c>
      <c r="D62">
        <v>0</v>
      </c>
      <c r="E62">
        <v>0</v>
      </c>
      <c r="F62" s="4"/>
      <c r="I62" s="3" t="s">
        <v>60</v>
      </c>
      <c r="J62">
        <f t="shared" si="0"/>
        <v>6</v>
      </c>
      <c r="K62">
        <f t="shared" si="1"/>
        <v>32</v>
      </c>
      <c r="L62">
        <f t="shared" si="2"/>
        <v>3</v>
      </c>
      <c r="M62">
        <f t="shared" si="3"/>
        <v>22</v>
      </c>
      <c r="N62" s="4">
        <v>9</v>
      </c>
    </row>
    <row r="63" spans="1:14">
      <c r="A63" t="s">
        <v>30</v>
      </c>
      <c r="B63">
        <v>9</v>
      </c>
      <c r="C63">
        <v>18</v>
      </c>
      <c r="D63">
        <v>8</v>
      </c>
      <c r="E63">
        <v>18</v>
      </c>
      <c r="F63" s="4"/>
      <c r="I63" s="3" t="s">
        <v>61</v>
      </c>
      <c r="J63">
        <f t="shared" si="0"/>
        <v>2</v>
      </c>
      <c r="K63">
        <f t="shared" si="1"/>
        <v>3</v>
      </c>
      <c r="L63">
        <f t="shared" si="2"/>
        <v>0</v>
      </c>
      <c r="M63">
        <f t="shared" si="3"/>
        <v>1</v>
      </c>
      <c r="N63" s="4">
        <v>2</v>
      </c>
    </row>
    <row r="64" spans="1:14">
      <c r="A64" t="s">
        <v>31</v>
      </c>
      <c r="B64">
        <v>0</v>
      </c>
      <c r="C64">
        <v>0</v>
      </c>
      <c r="D64">
        <v>0</v>
      </c>
      <c r="E64">
        <v>0</v>
      </c>
      <c r="F64" s="4"/>
      <c r="I64" s="3" t="s">
        <v>62</v>
      </c>
      <c r="J64">
        <f t="shared" si="0"/>
        <v>0</v>
      </c>
      <c r="K64">
        <f t="shared" si="1"/>
        <v>3</v>
      </c>
      <c r="L64">
        <f t="shared" si="2"/>
        <v>0</v>
      </c>
      <c r="M64">
        <f t="shared" si="3"/>
        <v>1</v>
      </c>
      <c r="N64" s="4">
        <v>2</v>
      </c>
    </row>
    <row r="65" spans="1:14">
      <c r="A65" t="s">
        <v>32</v>
      </c>
      <c r="B65">
        <v>0</v>
      </c>
      <c r="C65">
        <v>0</v>
      </c>
      <c r="D65">
        <v>0</v>
      </c>
      <c r="E65">
        <v>0</v>
      </c>
      <c r="F65" s="4"/>
      <c r="I65" s="3" t="s">
        <v>63</v>
      </c>
      <c r="J65">
        <f t="shared" si="0"/>
        <v>-1</v>
      </c>
      <c r="K65">
        <f t="shared" si="1"/>
        <v>16</v>
      </c>
      <c r="L65">
        <f t="shared" si="2"/>
        <v>0</v>
      </c>
      <c r="M65">
        <f t="shared" si="3"/>
        <v>9</v>
      </c>
      <c r="N65" s="4">
        <v>7</v>
      </c>
    </row>
    <row r="66" spans="1:14">
      <c r="A66" t="s">
        <v>35</v>
      </c>
      <c r="B66">
        <v>0</v>
      </c>
      <c r="C66">
        <v>12</v>
      </c>
      <c r="D66">
        <v>0</v>
      </c>
      <c r="E66">
        <v>8</v>
      </c>
      <c r="F66" s="4"/>
      <c r="I66" s="3" t="s">
        <v>64</v>
      </c>
      <c r="J66">
        <f t="shared" si="0"/>
        <v>0</v>
      </c>
      <c r="K66">
        <f t="shared" si="1"/>
        <v>0</v>
      </c>
      <c r="L66">
        <f t="shared" si="2"/>
        <v>0</v>
      </c>
      <c r="M66">
        <f t="shared" si="3"/>
        <v>0</v>
      </c>
      <c r="N66" s="4"/>
    </row>
    <row r="67" spans="1:14">
      <c r="A67" t="s">
        <v>36</v>
      </c>
      <c r="B67">
        <v>0</v>
      </c>
      <c r="C67">
        <v>0</v>
      </c>
      <c r="D67">
        <v>0</v>
      </c>
      <c r="E67">
        <v>0</v>
      </c>
      <c r="F67" s="4"/>
      <c r="I67" s="3" t="s">
        <v>65</v>
      </c>
      <c r="J67">
        <f t="shared" si="0"/>
        <v>2</v>
      </c>
      <c r="K67">
        <f t="shared" si="1"/>
        <v>0</v>
      </c>
      <c r="L67">
        <f t="shared" si="2"/>
        <v>0</v>
      </c>
      <c r="M67">
        <f t="shared" si="3"/>
        <v>0</v>
      </c>
      <c r="N67" s="4"/>
    </row>
    <row r="68" spans="1:14">
      <c r="A68" t="s">
        <v>363</v>
      </c>
      <c r="B68">
        <v>0</v>
      </c>
      <c r="C68">
        <v>0</v>
      </c>
      <c r="D68">
        <v>0</v>
      </c>
      <c r="E68">
        <v>0</v>
      </c>
      <c r="F68" s="4"/>
      <c r="I68" s="3" t="s">
        <v>66</v>
      </c>
      <c r="J68">
        <f t="shared" si="0"/>
        <v>6</v>
      </c>
      <c r="K68">
        <f t="shared" si="1"/>
        <v>45</v>
      </c>
      <c r="L68">
        <f t="shared" si="2"/>
        <v>3</v>
      </c>
      <c r="M68">
        <f t="shared" si="3"/>
        <v>41</v>
      </c>
      <c r="N68" s="4">
        <v>7</v>
      </c>
    </row>
    <row r="69" spans="1:14">
      <c r="A69" t="s">
        <v>38</v>
      </c>
      <c r="B69">
        <v>5</v>
      </c>
      <c r="C69">
        <v>18</v>
      </c>
      <c r="D69">
        <v>0</v>
      </c>
      <c r="E69">
        <v>14</v>
      </c>
      <c r="F69" s="4"/>
      <c r="I69" s="3" t="s">
        <v>67</v>
      </c>
      <c r="J69">
        <f t="shared" ref="J69:J132" si="4">IFERROR(VLOOKUP(I69,A$2:B$357,2,FALSE),0)</f>
        <v>0</v>
      </c>
      <c r="K69">
        <f t="shared" ref="K69:K132" si="5">IFERROR(VLOOKUP(I69,A$2:C$357,3,FALSE),0)</f>
        <v>0</v>
      </c>
      <c r="L69">
        <f t="shared" ref="L69:L132" si="6">IFERROR(VLOOKUP(I69,A$2:D$357,4,FALSE),0)</f>
        <v>0</v>
      </c>
      <c r="M69">
        <f t="shared" ref="M69:M132" si="7">IFERROR(VLOOKUP(I69,A$2:E$357,5,FALSE),0)</f>
        <v>0</v>
      </c>
      <c r="N69" s="4"/>
    </row>
    <row r="70" spans="1:14">
      <c r="A70" t="s">
        <v>39</v>
      </c>
      <c r="B70">
        <v>9</v>
      </c>
      <c r="C70">
        <v>12</v>
      </c>
      <c r="D70">
        <v>0</v>
      </c>
      <c r="E70">
        <v>11</v>
      </c>
      <c r="F70" s="4"/>
      <c r="I70" s="3" t="s">
        <v>68</v>
      </c>
      <c r="J70">
        <f t="shared" si="4"/>
        <v>0</v>
      </c>
      <c r="K70">
        <f t="shared" si="5"/>
        <v>0</v>
      </c>
      <c r="L70">
        <f t="shared" si="6"/>
        <v>0</v>
      </c>
      <c r="M70">
        <f t="shared" si="7"/>
        <v>0</v>
      </c>
      <c r="N70" s="4"/>
    </row>
    <row r="71" spans="1:14">
      <c r="A71" t="s">
        <v>40</v>
      </c>
      <c r="B71">
        <v>0</v>
      </c>
      <c r="C71">
        <v>0</v>
      </c>
      <c r="D71">
        <v>0</v>
      </c>
      <c r="E71">
        <v>0</v>
      </c>
      <c r="F71" s="4"/>
      <c r="I71" s="3" t="s">
        <v>69</v>
      </c>
      <c r="J71">
        <f t="shared" si="4"/>
        <v>0</v>
      </c>
      <c r="K71">
        <f t="shared" si="5"/>
        <v>15</v>
      </c>
      <c r="L71">
        <f t="shared" si="6"/>
        <v>0</v>
      </c>
      <c r="M71">
        <f t="shared" si="7"/>
        <v>5</v>
      </c>
      <c r="N71" s="4">
        <v>10</v>
      </c>
    </row>
    <row r="72" spans="1:14">
      <c r="A72" t="s">
        <v>41</v>
      </c>
      <c r="B72">
        <v>1</v>
      </c>
      <c r="C72">
        <v>0</v>
      </c>
      <c r="D72">
        <v>0</v>
      </c>
      <c r="E72">
        <v>0</v>
      </c>
      <c r="F72" s="4"/>
      <c r="I72" s="3" t="s">
        <v>70</v>
      </c>
      <c r="J72">
        <f t="shared" si="4"/>
        <v>2</v>
      </c>
      <c r="K72">
        <f t="shared" si="5"/>
        <v>6</v>
      </c>
      <c r="L72">
        <f t="shared" si="6"/>
        <v>0</v>
      </c>
      <c r="M72">
        <f t="shared" si="7"/>
        <v>3</v>
      </c>
      <c r="N72" s="4">
        <v>3</v>
      </c>
    </row>
    <row r="73" spans="1:14">
      <c r="A73" t="s">
        <v>42</v>
      </c>
      <c r="B73">
        <v>0</v>
      </c>
      <c r="C73">
        <v>0</v>
      </c>
      <c r="D73">
        <v>0</v>
      </c>
      <c r="E73">
        <v>0</v>
      </c>
      <c r="F73" s="4"/>
      <c r="I73" s="3" t="s">
        <v>71</v>
      </c>
      <c r="J73">
        <f t="shared" si="4"/>
        <v>0</v>
      </c>
      <c r="K73">
        <f t="shared" si="5"/>
        <v>0</v>
      </c>
      <c r="L73">
        <f t="shared" si="6"/>
        <v>0</v>
      </c>
      <c r="M73">
        <f t="shared" si="7"/>
        <v>0</v>
      </c>
      <c r="N73" s="4"/>
    </row>
    <row r="74" spans="1:14">
      <c r="A74" t="s">
        <v>43</v>
      </c>
      <c r="B74">
        <v>-1</v>
      </c>
      <c r="C74">
        <v>12</v>
      </c>
      <c r="D74">
        <v>0</v>
      </c>
      <c r="E74">
        <v>8</v>
      </c>
      <c r="F74" s="4"/>
      <c r="I74" s="3" t="s">
        <v>72</v>
      </c>
      <c r="J74">
        <f t="shared" si="4"/>
        <v>1</v>
      </c>
      <c r="K74">
        <f t="shared" si="5"/>
        <v>6</v>
      </c>
      <c r="L74">
        <f t="shared" si="6"/>
        <v>2</v>
      </c>
      <c r="M74">
        <f t="shared" si="7"/>
        <v>4</v>
      </c>
      <c r="N74" s="4"/>
    </row>
    <row r="75" spans="1:14">
      <c r="A75" t="s">
        <v>44</v>
      </c>
      <c r="B75">
        <v>5</v>
      </c>
      <c r="C75">
        <v>6</v>
      </c>
      <c r="D75">
        <v>2</v>
      </c>
      <c r="E75">
        <v>9</v>
      </c>
      <c r="F75" s="4"/>
      <c r="I75" s="3" t="s">
        <v>73</v>
      </c>
      <c r="J75">
        <f t="shared" si="4"/>
        <v>1</v>
      </c>
      <c r="K75">
        <f t="shared" si="5"/>
        <v>21</v>
      </c>
      <c r="L75">
        <f t="shared" si="6"/>
        <v>0</v>
      </c>
      <c r="M75">
        <f t="shared" si="7"/>
        <v>14</v>
      </c>
      <c r="N75" s="4">
        <v>8</v>
      </c>
    </row>
    <row r="76" spans="1:14">
      <c r="A76" t="s">
        <v>45</v>
      </c>
      <c r="B76">
        <v>8</v>
      </c>
      <c r="C76">
        <v>43</v>
      </c>
      <c r="D76">
        <v>0</v>
      </c>
      <c r="E76">
        <v>45</v>
      </c>
      <c r="F76" s="4"/>
      <c r="I76" s="3" t="s">
        <v>74</v>
      </c>
      <c r="J76">
        <f t="shared" si="4"/>
        <v>0</v>
      </c>
      <c r="K76">
        <f t="shared" si="5"/>
        <v>0</v>
      </c>
      <c r="L76">
        <f t="shared" si="6"/>
        <v>0</v>
      </c>
      <c r="M76">
        <f t="shared" si="7"/>
        <v>0</v>
      </c>
      <c r="N76" s="4"/>
    </row>
    <row r="77" spans="1:14">
      <c r="A77" t="s">
        <v>46</v>
      </c>
      <c r="B77">
        <v>0</v>
      </c>
      <c r="C77">
        <v>0</v>
      </c>
      <c r="D77">
        <v>0</v>
      </c>
      <c r="E77">
        <v>0</v>
      </c>
      <c r="F77" s="4"/>
      <c r="I77" s="3" t="s">
        <v>75</v>
      </c>
      <c r="J77">
        <f t="shared" si="4"/>
        <v>0</v>
      </c>
      <c r="K77">
        <f t="shared" si="5"/>
        <v>12</v>
      </c>
      <c r="L77">
        <f t="shared" si="6"/>
        <v>0</v>
      </c>
      <c r="M77">
        <f t="shared" si="7"/>
        <v>7</v>
      </c>
      <c r="N77" s="4">
        <v>5</v>
      </c>
    </row>
    <row r="78" spans="1:14">
      <c r="A78" t="s">
        <v>364</v>
      </c>
      <c r="B78">
        <v>0</v>
      </c>
      <c r="C78">
        <v>0</v>
      </c>
      <c r="D78">
        <v>0</v>
      </c>
      <c r="E78">
        <v>0</v>
      </c>
      <c r="F78" s="4"/>
      <c r="I78" s="3" t="s">
        <v>76</v>
      </c>
      <c r="J78">
        <f t="shared" si="4"/>
        <v>0</v>
      </c>
      <c r="K78">
        <f t="shared" si="5"/>
        <v>0</v>
      </c>
      <c r="L78">
        <f t="shared" si="6"/>
        <v>0</v>
      </c>
      <c r="M78">
        <f t="shared" si="7"/>
        <v>0</v>
      </c>
      <c r="N78" s="4"/>
    </row>
    <row r="79" spans="1:14">
      <c r="A79" t="s">
        <v>365</v>
      </c>
      <c r="B79">
        <v>0</v>
      </c>
      <c r="C79">
        <v>0</v>
      </c>
      <c r="D79">
        <v>0</v>
      </c>
      <c r="E79">
        <v>0</v>
      </c>
      <c r="F79" s="4"/>
      <c r="I79" s="3" t="s">
        <v>77</v>
      </c>
      <c r="J79">
        <f t="shared" si="4"/>
        <v>0</v>
      </c>
      <c r="K79">
        <f t="shared" si="5"/>
        <v>7</v>
      </c>
      <c r="L79">
        <f t="shared" si="6"/>
        <v>0</v>
      </c>
      <c r="M79">
        <f t="shared" si="7"/>
        <v>4</v>
      </c>
      <c r="N79" s="4">
        <v>3</v>
      </c>
    </row>
    <row r="80" spans="1:14">
      <c r="A80" t="s">
        <v>366</v>
      </c>
      <c r="B80">
        <v>0</v>
      </c>
      <c r="C80">
        <v>0</v>
      </c>
      <c r="D80">
        <v>0</v>
      </c>
      <c r="E80">
        <v>0</v>
      </c>
      <c r="F80" s="4"/>
      <c r="I80" s="3" t="s">
        <v>78</v>
      </c>
      <c r="J80">
        <f t="shared" si="4"/>
        <v>0</v>
      </c>
      <c r="K80">
        <f t="shared" si="5"/>
        <v>0</v>
      </c>
      <c r="L80">
        <f t="shared" si="6"/>
        <v>0</v>
      </c>
      <c r="M80">
        <f t="shared" si="7"/>
        <v>0</v>
      </c>
      <c r="N80" s="4"/>
    </row>
    <row r="81" spans="1:14">
      <c r="A81" t="s">
        <v>367</v>
      </c>
      <c r="B81">
        <v>0</v>
      </c>
      <c r="C81">
        <v>0</v>
      </c>
      <c r="D81">
        <v>0</v>
      </c>
      <c r="E81">
        <v>0</v>
      </c>
      <c r="F81" s="4"/>
      <c r="I81" s="3" t="s">
        <v>79</v>
      </c>
      <c r="J81">
        <f t="shared" si="4"/>
        <v>0</v>
      </c>
      <c r="K81">
        <f t="shared" si="5"/>
        <v>28</v>
      </c>
      <c r="L81">
        <f t="shared" si="6"/>
        <v>0</v>
      </c>
      <c r="M81">
        <f t="shared" si="7"/>
        <v>22</v>
      </c>
      <c r="N81" s="4">
        <v>5</v>
      </c>
    </row>
    <row r="82" spans="1:14">
      <c r="A82" t="s">
        <v>368</v>
      </c>
      <c r="B82">
        <v>0</v>
      </c>
      <c r="C82">
        <v>0</v>
      </c>
      <c r="D82">
        <v>0</v>
      </c>
      <c r="E82">
        <v>0</v>
      </c>
      <c r="F82" s="4"/>
      <c r="I82" s="3" t="s">
        <v>80</v>
      </c>
      <c r="J82">
        <f t="shared" si="4"/>
        <v>0</v>
      </c>
      <c r="K82">
        <f t="shared" si="5"/>
        <v>0</v>
      </c>
      <c r="L82">
        <f t="shared" si="6"/>
        <v>0</v>
      </c>
      <c r="M82">
        <f t="shared" si="7"/>
        <v>0</v>
      </c>
      <c r="N82" s="4"/>
    </row>
    <row r="83" spans="1:14">
      <c r="A83" t="s">
        <v>369</v>
      </c>
      <c r="B83">
        <v>0</v>
      </c>
      <c r="C83">
        <v>0</v>
      </c>
      <c r="D83">
        <v>0</v>
      </c>
      <c r="E83">
        <v>0</v>
      </c>
      <c r="F83" s="4"/>
      <c r="I83" s="3" t="s">
        <v>81</v>
      </c>
      <c r="J83">
        <f t="shared" si="4"/>
        <v>0</v>
      </c>
      <c r="K83">
        <f t="shared" si="5"/>
        <v>0</v>
      </c>
      <c r="L83">
        <f t="shared" si="6"/>
        <v>0</v>
      </c>
      <c r="M83">
        <f t="shared" si="7"/>
        <v>0</v>
      </c>
      <c r="N83" s="4"/>
    </row>
    <row r="84" spans="1:14">
      <c r="A84" t="s">
        <v>370</v>
      </c>
      <c r="B84">
        <v>0</v>
      </c>
      <c r="C84">
        <v>0</v>
      </c>
      <c r="D84">
        <v>0</v>
      </c>
      <c r="E84">
        <v>0</v>
      </c>
      <c r="F84" s="4"/>
      <c r="I84" s="3" t="s">
        <v>82</v>
      </c>
      <c r="J84">
        <f t="shared" si="4"/>
        <v>0</v>
      </c>
      <c r="K84">
        <f t="shared" si="5"/>
        <v>0</v>
      </c>
      <c r="L84">
        <f t="shared" si="6"/>
        <v>0</v>
      </c>
      <c r="M84">
        <f t="shared" si="7"/>
        <v>0</v>
      </c>
      <c r="N84" s="4"/>
    </row>
    <row r="85" spans="1:14">
      <c r="A85" t="s">
        <v>371</v>
      </c>
      <c r="B85">
        <v>0</v>
      </c>
      <c r="C85">
        <v>0</v>
      </c>
      <c r="D85">
        <v>0</v>
      </c>
      <c r="E85">
        <v>0</v>
      </c>
      <c r="F85" s="4"/>
      <c r="I85" s="3" t="s">
        <v>83</v>
      </c>
      <c r="J85">
        <f t="shared" si="4"/>
        <v>0</v>
      </c>
      <c r="K85">
        <f t="shared" si="5"/>
        <v>0</v>
      </c>
      <c r="L85">
        <f t="shared" si="6"/>
        <v>0</v>
      </c>
      <c r="M85">
        <f t="shared" si="7"/>
        <v>0</v>
      </c>
      <c r="N85" s="4"/>
    </row>
    <row r="86" spans="1:14">
      <c r="A86" t="s">
        <v>372</v>
      </c>
      <c r="B86">
        <v>0</v>
      </c>
      <c r="C86">
        <v>0</v>
      </c>
      <c r="D86">
        <v>0</v>
      </c>
      <c r="E86">
        <v>0</v>
      </c>
      <c r="F86" s="4"/>
      <c r="I86" s="3" t="s">
        <v>84</v>
      </c>
      <c r="J86">
        <f t="shared" si="4"/>
        <v>1</v>
      </c>
      <c r="K86">
        <f t="shared" si="5"/>
        <v>19</v>
      </c>
      <c r="L86">
        <f t="shared" si="6"/>
        <v>0</v>
      </c>
      <c r="M86">
        <f t="shared" si="7"/>
        <v>19</v>
      </c>
      <c r="N86" s="4"/>
    </row>
    <row r="87" spans="1:14">
      <c r="A87" t="s">
        <v>373</v>
      </c>
      <c r="B87">
        <v>0</v>
      </c>
      <c r="C87">
        <v>0</v>
      </c>
      <c r="D87">
        <v>0</v>
      </c>
      <c r="E87">
        <v>0</v>
      </c>
      <c r="F87" s="4"/>
      <c r="I87" s="3" t="s">
        <v>85</v>
      </c>
      <c r="J87">
        <f t="shared" si="4"/>
        <v>0</v>
      </c>
      <c r="K87">
        <f t="shared" si="5"/>
        <v>0</v>
      </c>
      <c r="L87">
        <f t="shared" si="6"/>
        <v>0</v>
      </c>
      <c r="M87">
        <f t="shared" si="7"/>
        <v>0</v>
      </c>
      <c r="N87" s="4"/>
    </row>
    <row r="88" spans="1:14">
      <c r="A88" t="s">
        <v>60</v>
      </c>
      <c r="B88">
        <v>6</v>
      </c>
      <c r="C88">
        <v>32</v>
      </c>
      <c r="D88">
        <v>3</v>
      </c>
      <c r="E88">
        <v>22</v>
      </c>
      <c r="F88" s="4"/>
      <c r="I88" s="3" t="s">
        <v>86</v>
      </c>
      <c r="J88">
        <f t="shared" si="4"/>
        <v>4</v>
      </c>
      <c r="K88">
        <f t="shared" si="5"/>
        <v>14</v>
      </c>
      <c r="L88">
        <f t="shared" si="6"/>
        <v>0</v>
      </c>
      <c r="M88">
        <f t="shared" si="7"/>
        <v>12</v>
      </c>
      <c r="N88" s="4">
        <v>6</v>
      </c>
    </row>
    <row r="89" spans="1:14">
      <c r="A89" t="s">
        <v>61</v>
      </c>
      <c r="B89">
        <v>2</v>
      </c>
      <c r="C89">
        <v>3</v>
      </c>
      <c r="D89">
        <v>0</v>
      </c>
      <c r="E89">
        <v>1</v>
      </c>
      <c r="F89" s="4"/>
      <c r="I89" s="3" t="s">
        <v>87</v>
      </c>
      <c r="J89">
        <f t="shared" si="4"/>
        <v>0</v>
      </c>
      <c r="K89">
        <f t="shared" si="5"/>
        <v>0</v>
      </c>
      <c r="L89">
        <f t="shared" si="6"/>
        <v>0</v>
      </c>
      <c r="M89">
        <f t="shared" si="7"/>
        <v>0</v>
      </c>
      <c r="N89" s="4"/>
    </row>
    <row r="90" spans="1:14">
      <c r="A90" t="s">
        <v>62</v>
      </c>
      <c r="B90">
        <v>0</v>
      </c>
      <c r="C90">
        <v>3</v>
      </c>
      <c r="D90">
        <v>0</v>
      </c>
      <c r="E90">
        <v>1</v>
      </c>
      <c r="F90" s="4"/>
      <c r="I90" s="3" t="s">
        <v>88</v>
      </c>
      <c r="J90">
        <f t="shared" si="4"/>
        <v>0</v>
      </c>
      <c r="K90">
        <f t="shared" si="5"/>
        <v>0</v>
      </c>
      <c r="L90">
        <f t="shared" si="6"/>
        <v>0</v>
      </c>
      <c r="M90">
        <f t="shared" si="7"/>
        <v>0</v>
      </c>
      <c r="N90" s="4"/>
    </row>
    <row r="91" spans="1:14">
      <c r="A91" t="s">
        <v>63</v>
      </c>
      <c r="B91">
        <v>-1</v>
      </c>
      <c r="C91">
        <v>16</v>
      </c>
      <c r="D91">
        <v>0</v>
      </c>
      <c r="E91">
        <v>9</v>
      </c>
      <c r="F91" s="4"/>
      <c r="I91" s="3" t="s">
        <v>89</v>
      </c>
      <c r="J91">
        <f t="shared" si="4"/>
        <v>0</v>
      </c>
      <c r="K91">
        <f t="shared" si="5"/>
        <v>0</v>
      </c>
      <c r="L91">
        <f t="shared" si="6"/>
        <v>0</v>
      </c>
      <c r="M91">
        <f t="shared" si="7"/>
        <v>0</v>
      </c>
      <c r="N91" s="4"/>
    </row>
    <row r="92" spans="1:14">
      <c r="A92" t="s">
        <v>106</v>
      </c>
      <c r="B92">
        <v>0</v>
      </c>
      <c r="C92">
        <v>0</v>
      </c>
      <c r="D92">
        <v>0</v>
      </c>
      <c r="E92">
        <v>0</v>
      </c>
      <c r="F92" s="4"/>
      <c r="I92" s="3" t="s">
        <v>90</v>
      </c>
      <c r="J92">
        <f t="shared" si="4"/>
        <v>0</v>
      </c>
      <c r="K92">
        <f t="shared" si="5"/>
        <v>0</v>
      </c>
      <c r="L92">
        <f t="shared" si="6"/>
        <v>0</v>
      </c>
      <c r="M92">
        <f t="shared" si="7"/>
        <v>0</v>
      </c>
      <c r="N92" s="4"/>
    </row>
    <row r="93" spans="1:14">
      <c r="A93" t="s">
        <v>65</v>
      </c>
      <c r="B93">
        <v>2</v>
      </c>
      <c r="C93">
        <v>0</v>
      </c>
      <c r="D93">
        <v>0</v>
      </c>
      <c r="E93">
        <v>0</v>
      </c>
      <c r="F93" s="4"/>
      <c r="I93" s="3" t="s">
        <v>91</v>
      </c>
      <c r="J93">
        <f t="shared" si="4"/>
        <v>-1</v>
      </c>
      <c r="K93">
        <f t="shared" si="5"/>
        <v>4</v>
      </c>
      <c r="L93">
        <f t="shared" si="6"/>
        <v>0</v>
      </c>
      <c r="M93">
        <f t="shared" si="7"/>
        <v>2</v>
      </c>
      <c r="N93" s="4">
        <v>2</v>
      </c>
    </row>
    <row r="94" spans="1:14">
      <c r="A94" t="s">
        <v>66</v>
      </c>
      <c r="B94">
        <v>6</v>
      </c>
      <c r="C94">
        <v>45</v>
      </c>
      <c r="D94">
        <v>3</v>
      </c>
      <c r="E94">
        <v>41</v>
      </c>
      <c r="F94" s="4"/>
      <c r="I94" s="3" t="s">
        <v>92</v>
      </c>
      <c r="J94">
        <f t="shared" si="4"/>
        <v>0</v>
      </c>
      <c r="K94">
        <f t="shared" si="5"/>
        <v>0</v>
      </c>
      <c r="L94">
        <f t="shared" si="6"/>
        <v>0</v>
      </c>
      <c r="M94">
        <f t="shared" si="7"/>
        <v>0</v>
      </c>
      <c r="N94" s="4"/>
    </row>
    <row r="95" spans="1:14">
      <c r="A95" t="s">
        <v>68</v>
      </c>
      <c r="B95">
        <v>0</v>
      </c>
      <c r="C95">
        <v>0</v>
      </c>
      <c r="D95">
        <v>0</v>
      </c>
      <c r="E95">
        <v>0</v>
      </c>
      <c r="F95" s="4"/>
      <c r="I95" s="3" t="s">
        <v>93</v>
      </c>
      <c r="J95">
        <f t="shared" si="4"/>
        <v>0</v>
      </c>
      <c r="K95">
        <f t="shared" si="5"/>
        <v>0</v>
      </c>
      <c r="L95">
        <f t="shared" si="6"/>
        <v>0</v>
      </c>
      <c r="M95">
        <f t="shared" si="7"/>
        <v>0</v>
      </c>
      <c r="N95" s="4"/>
    </row>
    <row r="96" spans="1:14">
      <c r="A96" t="s">
        <v>69</v>
      </c>
      <c r="B96">
        <v>0</v>
      </c>
      <c r="C96">
        <v>15</v>
      </c>
      <c r="D96">
        <v>0</v>
      </c>
      <c r="E96">
        <v>5</v>
      </c>
      <c r="F96" s="4"/>
      <c r="I96" s="3" t="s">
        <v>94</v>
      </c>
      <c r="J96">
        <f t="shared" si="4"/>
        <v>4</v>
      </c>
      <c r="K96">
        <f t="shared" si="5"/>
        <v>15</v>
      </c>
      <c r="L96">
        <f t="shared" si="6"/>
        <v>0</v>
      </c>
      <c r="M96">
        <f t="shared" si="7"/>
        <v>20</v>
      </c>
      <c r="N96" s="4"/>
    </row>
    <row r="97" spans="1:14">
      <c r="A97" t="s">
        <v>70</v>
      </c>
      <c r="B97">
        <v>2</v>
      </c>
      <c r="C97">
        <v>6</v>
      </c>
      <c r="D97">
        <v>0</v>
      </c>
      <c r="E97">
        <v>3</v>
      </c>
      <c r="F97" s="4"/>
      <c r="I97" s="3" t="s">
        <v>95</v>
      </c>
      <c r="J97">
        <f t="shared" si="4"/>
        <v>4</v>
      </c>
      <c r="K97">
        <f t="shared" si="5"/>
        <v>12</v>
      </c>
      <c r="L97">
        <f t="shared" si="6"/>
        <v>0</v>
      </c>
      <c r="M97">
        <f t="shared" si="7"/>
        <v>11</v>
      </c>
      <c r="N97" s="4">
        <v>5</v>
      </c>
    </row>
    <row r="98" spans="1:14">
      <c r="A98" t="s">
        <v>71</v>
      </c>
      <c r="B98">
        <v>0</v>
      </c>
      <c r="C98">
        <v>0</v>
      </c>
      <c r="D98">
        <v>0</v>
      </c>
      <c r="E98">
        <v>0</v>
      </c>
      <c r="F98" s="4"/>
      <c r="I98" s="3" t="s">
        <v>96</v>
      </c>
      <c r="J98">
        <f t="shared" si="4"/>
        <v>0</v>
      </c>
      <c r="K98">
        <f t="shared" si="5"/>
        <v>0</v>
      </c>
      <c r="L98">
        <f t="shared" si="6"/>
        <v>0</v>
      </c>
      <c r="M98">
        <f t="shared" si="7"/>
        <v>0</v>
      </c>
      <c r="N98" s="4"/>
    </row>
    <row r="99" spans="1:14">
      <c r="A99" t="s">
        <v>72</v>
      </c>
      <c r="B99">
        <v>1</v>
      </c>
      <c r="C99">
        <v>6</v>
      </c>
      <c r="D99">
        <v>2</v>
      </c>
      <c r="E99">
        <v>4</v>
      </c>
      <c r="F99" s="4"/>
      <c r="I99" s="3" t="s">
        <v>97</v>
      </c>
      <c r="J99">
        <f t="shared" si="4"/>
        <v>-1</v>
      </c>
      <c r="K99">
        <f t="shared" si="5"/>
        <v>0</v>
      </c>
      <c r="L99">
        <f t="shared" si="6"/>
        <v>0</v>
      </c>
      <c r="M99">
        <f t="shared" si="7"/>
        <v>0</v>
      </c>
      <c r="N99" s="4"/>
    </row>
    <row r="100" spans="1:14">
      <c r="A100" t="s">
        <v>73</v>
      </c>
      <c r="B100">
        <v>1</v>
      </c>
      <c r="C100">
        <v>21</v>
      </c>
      <c r="D100">
        <v>0</v>
      </c>
      <c r="E100">
        <v>14</v>
      </c>
      <c r="F100" s="4"/>
      <c r="I100" s="3" t="s">
        <v>98</v>
      </c>
      <c r="J100">
        <f t="shared" si="4"/>
        <v>4</v>
      </c>
      <c r="K100">
        <f t="shared" si="5"/>
        <v>0</v>
      </c>
      <c r="L100">
        <f t="shared" si="6"/>
        <v>0</v>
      </c>
      <c r="M100">
        <f t="shared" si="7"/>
        <v>4</v>
      </c>
      <c r="N100" s="4"/>
    </row>
    <row r="101" spans="1:14">
      <c r="A101" t="s">
        <v>74</v>
      </c>
      <c r="B101">
        <v>0</v>
      </c>
      <c r="C101">
        <v>0</v>
      </c>
      <c r="D101">
        <v>0</v>
      </c>
      <c r="E101">
        <v>0</v>
      </c>
      <c r="F101" s="4"/>
      <c r="I101" s="3" t="s">
        <v>99</v>
      </c>
      <c r="J101">
        <f t="shared" si="4"/>
        <v>-2</v>
      </c>
      <c r="K101">
        <f t="shared" si="5"/>
        <v>0</v>
      </c>
      <c r="L101">
        <f t="shared" si="6"/>
        <v>0</v>
      </c>
      <c r="M101">
        <f t="shared" si="7"/>
        <v>0</v>
      </c>
      <c r="N101" s="4"/>
    </row>
    <row r="102" spans="1:14">
      <c r="A102" t="s">
        <v>75</v>
      </c>
      <c r="B102">
        <v>0</v>
      </c>
      <c r="C102">
        <v>12</v>
      </c>
      <c r="D102">
        <v>0</v>
      </c>
      <c r="E102">
        <v>7</v>
      </c>
      <c r="F102" s="4"/>
      <c r="I102" s="3" t="s">
        <v>100</v>
      </c>
      <c r="J102">
        <f t="shared" si="4"/>
        <v>4</v>
      </c>
      <c r="K102">
        <f t="shared" si="5"/>
        <v>66</v>
      </c>
      <c r="L102">
        <f t="shared" si="6"/>
        <v>1</v>
      </c>
      <c r="M102">
        <f t="shared" si="7"/>
        <v>60</v>
      </c>
      <c r="N102" s="4">
        <v>11</v>
      </c>
    </row>
    <row r="103" spans="1:14">
      <c r="A103" t="s">
        <v>76</v>
      </c>
      <c r="B103">
        <v>0</v>
      </c>
      <c r="C103">
        <v>0</v>
      </c>
      <c r="D103">
        <v>0</v>
      </c>
      <c r="E103">
        <v>0</v>
      </c>
      <c r="F103" s="4"/>
      <c r="I103" s="3" t="s">
        <v>101</v>
      </c>
      <c r="J103">
        <f t="shared" si="4"/>
        <v>0</v>
      </c>
      <c r="K103">
        <f t="shared" si="5"/>
        <v>0</v>
      </c>
      <c r="L103">
        <f t="shared" si="6"/>
        <v>0</v>
      </c>
      <c r="M103">
        <f t="shared" si="7"/>
        <v>0</v>
      </c>
      <c r="N103" s="4"/>
    </row>
    <row r="104" spans="1:14">
      <c r="A104" t="s">
        <v>77</v>
      </c>
      <c r="B104">
        <v>0</v>
      </c>
      <c r="C104">
        <v>7</v>
      </c>
      <c r="D104">
        <v>0</v>
      </c>
      <c r="E104">
        <v>4</v>
      </c>
      <c r="F104" s="4"/>
      <c r="I104" s="3" t="s">
        <v>102</v>
      </c>
      <c r="J104">
        <f t="shared" si="4"/>
        <v>0</v>
      </c>
      <c r="K104">
        <f t="shared" si="5"/>
        <v>0</v>
      </c>
      <c r="L104">
        <f t="shared" si="6"/>
        <v>0</v>
      </c>
      <c r="M104">
        <f t="shared" si="7"/>
        <v>0</v>
      </c>
      <c r="N104" s="4"/>
    </row>
    <row r="105" spans="1:14">
      <c r="A105" t="s">
        <v>78</v>
      </c>
      <c r="B105">
        <v>0</v>
      </c>
      <c r="C105">
        <v>0</v>
      </c>
      <c r="D105">
        <v>0</v>
      </c>
      <c r="E105">
        <v>0</v>
      </c>
      <c r="F105" s="4"/>
      <c r="I105" s="3" t="s">
        <v>103</v>
      </c>
      <c r="J105">
        <f t="shared" si="4"/>
        <v>0</v>
      </c>
      <c r="K105">
        <f t="shared" si="5"/>
        <v>0</v>
      </c>
      <c r="L105">
        <f t="shared" si="6"/>
        <v>0</v>
      </c>
      <c r="M105">
        <f t="shared" si="7"/>
        <v>0</v>
      </c>
      <c r="N105" s="4"/>
    </row>
    <row r="106" spans="1:14">
      <c r="A106" t="s">
        <v>79</v>
      </c>
      <c r="B106">
        <v>0</v>
      </c>
      <c r="C106">
        <v>28</v>
      </c>
      <c r="D106">
        <v>0</v>
      </c>
      <c r="E106">
        <v>22</v>
      </c>
      <c r="F106" s="4"/>
      <c r="I106" s="1" t="s">
        <v>104</v>
      </c>
      <c r="J106">
        <f t="shared" si="4"/>
        <v>0</v>
      </c>
      <c r="K106">
        <f t="shared" si="5"/>
        <v>0</v>
      </c>
      <c r="L106">
        <f t="shared" si="6"/>
        <v>0</v>
      </c>
      <c r="M106">
        <f t="shared" si="7"/>
        <v>0</v>
      </c>
      <c r="N106" s="4"/>
    </row>
    <row r="107" spans="1:14">
      <c r="A107" t="s">
        <v>81</v>
      </c>
      <c r="B107">
        <v>0</v>
      </c>
      <c r="C107">
        <v>0</v>
      </c>
      <c r="D107">
        <v>0</v>
      </c>
      <c r="E107">
        <v>0</v>
      </c>
      <c r="F107" s="4"/>
      <c r="I107" s="1" t="s">
        <v>105</v>
      </c>
      <c r="J107">
        <f t="shared" si="4"/>
        <v>0</v>
      </c>
      <c r="K107">
        <f t="shared" si="5"/>
        <v>0</v>
      </c>
      <c r="L107">
        <f t="shared" si="6"/>
        <v>0</v>
      </c>
      <c r="M107">
        <f t="shared" si="7"/>
        <v>0</v>
      </c>
      <c r="N107" s="4"/>
    </row>
    <row r="108" spans="1:14">
      <c r="A108" t="s">
        <v>83</v>
      </c>
      <c r="B108">
        <v>0</v>
      </c>
      <c r="C108">
        <v>0</v>
      </c>
      <c r="D108">
        <v>0</v>
      </c>
      <c r="E108">
        <v>0</v>
      </c>
      <c r="F108" s="4"/>
      <c r="I108" s="1" t="s">
        <v>51</v>
      </c>
      <c r="J108">
        <f t="shared" si="4"/>
        <v>0</v>
      </c>
      <c r="K108">
        <f t="shared" si="5"/>
        <v>0</v>
      </c>
      <c r="L108">
        <f t="shared" si="6"/>
        <v>0</v>
      </c>
      <c r="M108">
        <f t="shared" si="7"/>
        <v>0</v>
      </c>
      <c r="N108" s="4"/>
    </row>
    <row r="109" spans="1:14">
      <c r="A109" t="s">
        <v>104</v>
      </c>
      <c r="B109">
        <v>0</v>
      </c>
      <c r="C109">
        <v>0</v>
      </c>
      <c r="D109">
        <v>0</v>
      </c>
      <c r="E109">
        <v>0</v>
      </c>
      <c r="F109" s="4"/>
      <c r="I109" s="4" t="s">
        <v>106</v>
      </c>
      <c r="J109">
        <f t="shared" si="4"/>
        <v>0</v>
      </c>
      <c r="K109">
        <f t="shared" si="5"/>
        <v>0</v>
      </c>
      <c r="L109">
        <f t="shared" si="6"/>
        <v>0</v>
      </c>
      <c r="M109">
        <f t="shared" si="7"/>
        <v>0</v>
      </c>
      <c r="N109" s="4"/>
    </row>
    <row r="110" spans="1:14">
      <c r="A110" t="s">
        <v>84</v>
      </c>
      <c r="B110">
        <v>1</v>
      </c>
      <c r="C110">
        <v>19</v>
      </c>
      <c r="D110">
        <v>0</v>
      </c>
      <c r="E110">
        <v>19</v>
      </c>
      <c r="F110" s="4"/>
      <c r="I110" s="4" t="s">
        <v>107</v>
      </c>
      <c r="J110">
        <f t="shared" si="4"/>
        <v>0</v>
      </c>
      <c r="K110">
        <f t="shared" si="5"/>
        <v>0</v>
      </c>
      <c r="L110">
        <f t="shared" si="6"/>
        <v>0</v>
      </c>
      <c r="M110">
        <f t="shared" si="7"/>
        <v>0</v>
      </c>
      <c r="N110" s="4"/>
    </row>
    <row r="111" spans="1:14">
      <c r="A111" t="s">
        <v>85</v>
      </c>
      <c r="B111">
        <v>0</v>
      </c>
      <c r="C111">
        <v>0</v>
      </c>
      <c r="D111">
        <v>0</v>
      </c>
      <c r="E111">
        <v>0</v>
      </c>
      <c r="F111" s="4"/>
      <c r="I111" s="4" t="s">
        <v>108</v>
      </c>
      <c r="J111">
        <f t="shared" si="4"/>
        <v>0</v>
      </c>
      <c r="K111">
        <f t="shared" si="5"/>
        <v>0</v>
      </c>
      <c r="L111">
        <f t="shared" si="6"/>
        <v>0</v>
      </c>
      <c r="M111">
        <f t="shared" si="7"/>
        <v>0</v>
      </c>
      <c r="N111" s="4"/>
    </row>
    <row r="112" spans="1:14">
      <c r="A112" t="s">
        <v>86</v>
      </c>
      <c r="B112">
        <v>4</v>
      </c>
      <c r="C112">
        <v>14</v>
      </c>
      <c r="D112">
        <v>0</v>
      </c>
      <c r="E112">
        <v>12</v>
      </c>
      <c r="F112" s="4"/>
      <c r="I112" s="2" t="s">
        <v>109</v>
      </c>
      <c r="J112">
        <f t="shared" si="4"/>
        <v>-1</v>
      </c>
      <c r="K112">
        <f t="shared" si="5"/>
        <v>10</v>
      </c>
      <c r="L112">
        <f t="shared" si="6"/>
        <v>0</v>
      </c>
      <c r="M112">
        <f t="shared" si="7"/>
        <v>7</v>
      </c>
      <c r="N112" s="4">
        <v>3</v>
      </c>
    </row>
    <row r="113" spans="1:14">
      <c r="A113" t="s">
        <v>87</v>
      </c>
      <c r="B113">
        <v>0</v>
      </c>
      <c r="C113">
        <v>0</v>
      </c>
      <c r="D113">
        <v>0</v>
      </c>
      <c r="E113">
        <v>0</v>
      </c>
      <c r="F113" s="4"/>
      <c r="I113" s="2" t="s">
        <v>110</v>
      </c>
      <c r="J113">
        <f t="shared" si="4"/>
        <v>0</v>
      </c>
      <c r="K113">
        <f t="shared" si="5"/>
        <v>0</v>
      </c>
      <c r="L113">
        <f t="shared" si="6"/>
        <v>0</v>
      </c>
      <c r="M113">
        <f t="shared" si="7"/>
        <v>0</v>
      </c>
      <c r="N113" s="4"/>
    </row>
    <row r="114" spans="1:14">
      <c r="A114" t="s">
        <v>89</v>
      </c>
      <c r="B114">
        <v>0</v>
      </c>
      <c r="C114">
        <v>0</v>
      </c>
      <c r="D114">
        <v>0</v>
      </c>
      <c r="E114">
        <v>0</v>
      </c>
      <c r="F114" s="4"/>
      <c r="I114" s="2" t="s">
        <v>111</v>
      </c>
      <c r="J114">
        <f t="shared" si="4"/>
        <v>-5</v>
      </c>
      <c r="K114">
        <f t="shared" si="5"/>
        <v>10</v>
      </c>
      <c r="L114">
        <f t="shared" si="6"/>
        <v>0</v>
      </c>
      <c r="M114">
        <f t="shared" si="7"/>
        <v>5</v>
      </c>
      <c r="N114" s="4">
        <v>5</v>
      </c>
    </row>
    <row r="115" spans="1:14">
      <c r="A115" t="s">
        <v>91</v>
      </c>
      <c r="B115">
        <v>-1</v>
      </c>
      <c r="C115">
        <v>4</v>
      </c>
      <c r="D115">
        <v>0</v>
      </c>
      <c r="E115">
        <v>2</v>
      </c>
      <c r="F115" s="4"/>
      <c r="I115" s="2" t="s">
        <v>112</v>
      </c>
      <c r="J115">
        <f t="shared" si="4"/>
        <v>0</v>
      </c>
      <c r="K115">
        <f t="shared" si="5"/>
        <v>8</v>
      </c>
      <c r="L115">
        <f t="shared" si="6"/>
        <v>0</v>
      </c>
      <c r="M115">
        <f t="shared" si="7"/>
        <v>3</v>
      </c>
      <c r="N115" s="4">
        <v>5</v>
      </c>
    </row>
    <row r="116" spans="1:14">
      <c r="A116" t="s">
        <v>374</v>
      </c>
      <c r="B116">
        <v>0</v>
      </c>
      <c r="C116">
        <v>0</v>
      </c>
      <c r="D116">
        <v>0</v>
      </c>
      <c r="E116">
        <v>0</v>
      </c>
      <c r="F116" s="4"/>
      <c r="I116" s="2" t="s">
        <v>113</v>
      </c>
      <c r="J116">
        <f t="shared" si="4"/>
        <v>0</v>
      </c>
      <c r="K116">
        <f t="shared" si="5"/>
        <v>4</v>
      </c>
      <c r="L116">
        <f t="shared" si="6"/>
        <v>0</v>
      </c>
      <c r="M116">
        <f t="shared" si="7"/>
        <v>0</v>
      </c>
      <c r="N116" s="4">
        <v>4</v>
      </c>
    </row>
    <row r="117" spans="1:14">
      <c r="A117" t="s">
        <v>103</v>
      </c>
      <c r="B117">
        <v>0</v>
      </c>
      <c r="C117">
        <v>0</v>
      </c>
      <c r="D117">
        <v>0</v>
      </c>
      <c r="E117">
        <v>0</v>
      </c>
      <c r="F117" s="4"/>
      <c r="I117" s="2" t="s">
        <v>114</v>
      </c>
      <c r="J117">
        <f t="shared" si="4"/>
        <v>0</v>
      </c>
      <c r="K117">
        <f t="shared" si="5"/>
        <v>0</v>
      </c>
      <c r="L117">
        <f t="shared" si="6"/>
        <v>0</v>
      </c>
      <c r="M117">
        <f t="shared" si="7"/>
        <v>0</v>
      </c>
      <c r="N117" s="4">
        <v>4</v>
      </c>
    </row>
    <row r="118" spans="1:14">
      <c r="A118" t="s">
        <v>375</v>
      </c>
      <c r="B118">
        <v>0</v>
      </c>
      <c r="C118">
        <v>0</v>
      </c>
      <c r="D118">
        <v>0</v>
      </c>
      <c r="E118">
        <v>0</v>
      </c>
      <c r="F118" s="4"/>
      <c r="I118" s="2" t="s">
        <v>115</v>
      </c>
      <c r="J118">
        <f t="shared" si="4"/>
        <v>3</v>
      </c>
      <c r="K118">
        <f t="shared" si="5"/>
        <v>5</v>
      </c>
      <c r="L118">
        <f t="shared" si="6"/>
        <v>1</v>
      </c>
      <c r="M118">
        <f t="shared" si="7"/>
        <v>1</v>
      </c>
      <c r="N118" s="4">
        <v>4</v>
      </c>
    </row>
    <row r="119" spans="1:14">
      <c r="A119" t="s">
        <v>94</v>
      </c>
      <c r="B119">
        <v>4</v>
      </c>
      <c r="C119">
        <v>15</v>
      </c>
      <c r="D119">
        <v>0</v>
      </c>
      <c r="E119">
        <v>20</v>
      </c>
      <c r="F119" s="4"/>
      <c r="I119" s="2" t="s">
        <v>116</v>
      </c>
      <c r="J119">
        <f t="shared" si="4"/>
        <v>0</v>
      </c>
      <c r="K119">
        <f t="shared" si="5"/>
        <v>0</v>
      </c>
      <c r="L119">
        <f t="shared" si="6"/>
        <v>0</v>
      </c>
      <c r="M119">
        <f t="shared" si="7"/>
        <v>0</v>
      </c>
      <c r="N119" s="4"/>
    </row>
    <row r="120" spans="1:14">
      <c r="A120" t="s">
        <v>95</v>
      </c>
      <c r="B120">
        <v>4</v>
      </c>
      <c r="C120">
        <v>12</v>
      </c>
      <c r="D120">
        <v>0</v>
      </c>
      <c r="E120">
        <v>11</v>
      </c>
      <c r="F120" s="4"/>
      <c r="I120" s="2" t="s">
        <v>117</v>
      </c>
      <c r="J120">
        <f t="shared" si="4"/>
        <v>0</v>
      </c>
      <c r="K120">
        <f t="shared" si="5"/>
        <v>0</v>
      </c>
      <c r="L120">
        <f t="shared" si="6"/>
        <v>0</v>
      </c>
      <c r="M120">
        <f t="shared" si="7"/>
        <v>0</v>
      </c>
      <c r="N120" s="4"/>
    </row>
    <row r="121" spans="1:14">
      <c r="A121" t="s">
        <v>96</v>
      </c>
      <c r="B121">
        <v>0</v>
      </c>
      <c r="C121">
        <v>0</v>
      </c>
      <c r="D121">
        <v>0</v>
      </c>
      <c r="E121">
        <v>0</v>
      </c>
      <c r="F121" s="4"/>
      <c r="I121" s="2" t="s">
        <v>118</v>
      </c>
      <c r="J121">
        <f t="shared" si="4"/>
        <v>0</v>
      </c>
      <c r="K121">
        <f t="shared" si="5"/>
        <v>0</v>
      </c>
      <c r="L121">
        <f t="shared" si="6"/>
        <v>0</v>
      </c>
      <c r="M121">
        <f t="shared" si="7"/>
        <v>0</v>
      </c>
      <c r="N121" s="4"/>
    </row>
    <row r="122" spans="1:14">
      <c r="A122" t="s">
        <v>97</v>
      </c>
      <c r="B122">
        <v>-1</v>
      </c>
      <c r="C122">
        <v>0</v>
      </c>
      <c r="D122">
        <v>0</v>
      </c>
      <c r="E122">
        <v>0</v>
      </c>
      <c r="F122" s="4"/>
      <c r="I122" s="2" t="s">
        <v>119</v>
      </c>
      <c r="J122">
        <f t="shared" si="4"/>
        <v>0</v>
      </c>
      <c r="K122">
        <f t="shared" si="5"/>
        <v>0</v>
      </c>
      <c r="L122">
        <f t="shared" si="6"/>
        <v>0</v>
      </c>
      <c r="M122">
        <f t="shared" si="7"/>
        <v>0</v>
      </c>
      <c r="N122" s="4"/>
    </row>
    <row r="123" spans="1:14">
      <c r="A123" t="s">
        <v>98</v>
      </c>
      <c r="B123">
        <v>4</v>
      </c>
      <c r="C123">
        <v>0</v>
      </c>
      <c r="D123">
        <v>0</v>
      </c>
      <c r="E123">
        <v>4</v>
      </c>
      <c r="F123" s="4"/>
      <c r="I123" s="2" t="s">
        <v>120</v>
      </c>
      <c r="J123">
        <f t="shared" si="4"/>
        <v>0</v>
      </c>
      <c r="K123">
        <f t="shared" si="5"/>
        <v>0</v>
      </c>
      <c r="L123">
        <f t="shared" si="6"/>
        <v>0</v>
      </c>
      <c r="M123">
        <f t="shared" si="7"/>
        <v>0</v>
      </c>
      <c r="N123" s="4"/>
    </row>
    <row r="124" spans="1:14">
      <c r="A124" t="s">
        <v>99</v>
      </c>
      <c r="B124">
        <v>-2</v>
      </c>
      <c r="C124">
        <v>0</v>
      </c>
      <c r="D124">
        <v>0</v>
      </c>
      <c r="E124">
        <v>0</v>
      </c>
      <c r="F124" s="4"/>
      <c r="I124" s="2" t="s">
        <v>121</v>
      </c>
      <c r="J124">
        <f t="shared" si="4"/>
        <v>0</v>
      </c>
      <c r="K124">
        <f t="shared" si="5"/>
        <v>0</v>
      </c>
      <c r="L124">
        <f t="shared" si="6"/>
        <v>0</v>
      </c>
      <c r="M124">
        <f t="shared" si="7"/>
        <v>0</v>
      </c>
      <c r="N124" s="4"/>
    </row>
    <row r="125" spans="1:14">
      <c r="A125" t="s">
        <v>100</v>
      </c>
      <c r="B125">
        <v>4</v>
      </c>
      <c r="C125">
        <v>66</v>
      </c>
      <c r="D125">
        <v>1</v>
      </c>
      <c r="E125">
        <v>60</v>
      </c>
      <c r="F125" s="4"/>
      <c r="I125" s="2" t="s">
        <v>122</v>
      </c>
      <c r="J125">
        <f t="shared" si="4"/>
        <v>4</v>
      </c>
      <c r="K125">
        <f t="shared" si="5"/>
        <v>15</v>
      </c>
      <c r="L125">
        <f t="shared" si="6"/>
        <v>0</v>
      </c>
      <c r="M125">
        <f t="shared" si="7"/>
        <v>9</v>
      </c>
      <c r="N125" s="4">
        <v>8</v>
      </c>
    </row>
    <row r="126" spans="1:14">
      <c r="A126" t="s">
        <v>376</v>
      </c>
      <c r="B126">
        <v>0</v>
      </c>
      <c r="C126">
        <v>0</v>
      </c>
      <c r="D126">
        <v>0</v>
      </c>
      <c r="E126">
        <v>0</v>
      </c>
      <c r="F126" s="4"/>
      <c r="I126" s="2" t="s">
        <v>123</v>
      </c>
      <c r="J126">
        <f t="shared" si="4"/>
        <v>0</v>
      </c>
      <c r="K126">
        <f t="shared" si="5"/>
        <v>0</v>
      </c>
      <c r="L126">
        <f t="shared" si="6"/>
        <v>0</v>
      </c>
      <c r="M126">
        <f t="shared" si="7"/>
        <v>0</v>
      </c>
      <c r="N126" s="4"/>
    </row>
    <row r="127" spans="1:14">
      <c r="A127" t="s">
        <v>101</v>
      </c>
      <c r="B127">
        <v>0</v>
      </c>
      <c r="C127">
        <v>0</v>
      </c>
      <c r="D127">
        <v>0</v>
      </c>
      <c r="E127">
        <v>0</v>
      </c>
      <c r="F127" s="4"/>
      <c r="I127" s="2" t="s">
        <v>124</v>
      </c>
      <c r="J127">
        <f t="shared" si="4"/>
        <v>0</v>
      </c>
      <c r="K127">
        <f t="shared" si="5"/>
        <v>0</v>
      </c>
      <c r="L127">
        <f t="shared" si="6"/>
        <v>0</v>
      </c>
      <c r="M127">
        <f t="shared" si="7"/>
        <v>0</v>
      </c>
      <c r="N127" s="4"/>
    </row>
    <row r="128" spans="1:14">
      <c r="A128" t="s">
        <v>377</v>
      </c>
      <c r="B128">
        <v>4</v>
      </c>
      <c r="C128">
        <v>0</v>
      </c>
      <c r="D128">
        <v>3</v>
      </c>
      <c r="E128">
        <v>1</v>
      </c>
      <c r="F128" s="4"/>
      <c r="I128" s="2" t="s">
        <v>125</v>
      </c>
      <c r="J128">
        <f t="shared" si="4"/>
        <v>0</v>
      </c>
      <c r="K128">
        <f t="shared" si="5"/>
        <v>0</v>
      </c>
      <c r="L128">
        <f t="shared" si="6"/>
        <v>0</v>
      </c>
      <c r="M128">
        <f t="shared" si="7"/>
        <v>0</v>
      </c>
      <c r="N128" s="4"/>
    </row>
    <row r="129" spans="1:14">
      <c r="A129" t="s">
        <v>378</v>
      </c>
      <c r="B129">
        <v>0</v>
      </c>
      <c r="C129">
        <v>0</v>
      </c>
      <c r="D129">
        <v>0</v>
      </c>
      <c r="E129">
        <v>0</v>
      </c>
      <c r="F129" s="4"/>
      <c r="I129" s="2" t="s">
        <v>126</v>
      </c>
      <c r="J129">
        <f t="shared" si="4"/>
        <v>0</v>
      </c>
      <c r="K129">
        <f t="shared" si="5"/>
        <v>0</v>
      </c>
      <c r="L129">
        <f t="shared" si="6"/>
        <v>0</v>
      </c>
      <c r="M129">
        <f t="shared" si="7"/>
        <v>0</v>
      </c>
      <c r="N129" s="4"/>
    </row>
    <row r="130" spans="1:14">
      <c r="A130" t="s">
        <v>379</v>
      </c>
      <c r="B130">
        <v>0</v>
      </c>
      <c r="C130">
        <v>0</v>
      </c>
      <c r="D130">
        <v>0</v>
      </c>
      <c r="E130">
        <v>0</v>
      </c>
      <c r="F130" s="4"/>
      <c r="I130" s="2" t="s">
        <v>127</v>
      </c>
      <c r="J130">
        <f t="shared" si="4"/>
        <v>0</v>
      </c>
      <c r="K130">
        <f t="shared" si="5"/>
        <v>0</v>
      </c>
      <c r="L130">
        <f t="shared" si="6"/>
        <v>0</v>
      </c>
      <c r="M130">
        <f t="shared" si="7"/>
        <v>0</v>
      </c>
      <c r="N130" s="4"/>
    </row>
    <row r="131" spans="1:14">
      <c r="A131" t="s">
        <v>380</v>
      </c>
      <c r="B131">
        <v>0</v>
      </c>
      <c r="C131">
        <v>0</v>
      </c>
      <c r="D131">
        <v>0</v>
      </c>
      <c r="E131">
        <v>0</v>
      </c>
      <c r="F131" s="4"/>
      <c r="I131" s="2" t="s">
        <v>128</v>
      </c>
      <c r="J131">
        <f t="shared" si="4"/>
        <v>0</v>
      </c>
      <c r="K131">
        <f t="shared" si="5"/>
        <v>0</v>
      </c>
      <c r="L131">
        <f t="shared" si="6"/>
        <v>0</v>
      </c>
      <c r="M131">
        <f t="shared" si="7"/>
        <v>0</v>
      </c>
      <c r="N131" s="4"/>
    </row>
    <row r="132" spans="1:14">
      <c r="A132" t="s">
        <v>115</v>
      </c>
      <c r="B132">
        <v>3</v>
      </c>
      <c r="C132">
        <v>5</v>
      </c>
      <c r="D132">
        <v>1</v>
      </c>
      <c r="E132">
        <v>1</v>
      </c>
      <c r="F132" s="4"/>
      <c r="I132" s="2" t="s">
        <v>129</v>
      </c>
      <c r="J132">
        <f t="shared" si="4"/>
        <v>0</v>
      </c>
      <c r="K132">
        <f t="shared" si="5"/>
        <v>0</v>
      </c>
      <c r="L132">
        <f t="shared" si="6"/>
        <v>0</v>
      </c>
      <c r="M132">
        <f t="shared" si="7"/>
        <v>0</v>
      </c>
      <c r="N132" s="4"/>
    </row>
    <row r="133" spans="1:14">
      <c r="A133" t="s">
        <v>116</v>
      </c>
      <c r="B133">
        <v>0</v>
      </c>
      <c r="C133">
        <v>0</v>
      </c>
      <c r="D133">
        <v>0</v>
      </c>
      <c r="E133">
        <v>0</v>
      </c>
      <c r="F133" s="4"/>
      <c r="I133" s="2" t="s">
        <v>130</v>
      </c>
      <c r="J133">
        <f t="shared" ref="J133:J196" si="8">IFERROR(VLOOKUP(I133,A$2:B$357,2,FALSE),0)</f>
        <v>0</v>
      </c>
      <c r="K133">
        <f t="shared" ref="K133:K196" si="9">IFERROR(VLOOKUP(I133,A$2:C$357,3,FALSE),0)</f>
        <v>0</v>
      </c>
      <c r="L133">
        <f t="shared" ref="L133:L196" si="10">IFERROR(VLOOKUP(I133,A$2:D$357,4,FALSE),0)</f>
        <v>0</v>
      </c>
      <c r="M133">
        <f t="shared" ref="M133:M196" si="11">IFERROR(VLOOKUP(I133,A$2:E$357,5,FALSE),0)</f>
        <v>0</v>
      </c>
      <c r="N133" s="4"/>
    </row>
    <row r="134" spans="1:14">
      <c r="A134" t="s">
        <v>122</v>
      </c>
      <c r="B134">
        <v>4</v>
      </c>
      <c r="C134">
        <v>15</v>
      </c>
      <c r="D134">
        <v>0</v>
      </c>
      <c r="E134">
        <v>9</v>
      </c>
      <c r="F134" s="4"/>
      <c r="I134" s="2" t="s">
        <v>131</v>
      </c>
      <c r="J134">
        <f t="shared" si="8"/>
        <v>0</v>
      </c>
      <c r="K134">
        <f t="shared" si="9"/>
        <v>0</v>
      </c>
      <c r="L134">
        <f t="shared" si="10"/>
        <v>0</v>
      </c>
      <c r="M134">
        <f t="shared" si="11"/>
        <v>0</v>
      </c>
      <c r="N134" s="4"/>
    </row>
    <row r="135" spans="1:14">
      <c r="A135" t="s">
        <v>127</v>
      </c>
      <c r="B135">
        <v>0</v>
      </c>
      <c r="C135">
        <v>0</v>
      </c>
      <c r="D135">
        <v>0</v>
      </c>
      <c r="E135">
        <v>0</v>
      </c>
      <c r="F135" s="4"/>
      <c r="I135" s="2" t="s">
        <v>132</v>
      </c>
      <c r="J135">
        <f t="shared" si="8"/>
        <v>0</v>
      </c>
      <c r="K135">
        <f t="shared" si="9"/>
        <v>0</v>
      </c>
      <c r="L135">
        <f t="shared" si="10"/>
        <v>0</v>
      </c>
      <c r="M135">
        <f t="shared" si="11"/>
        <v>0</v>
      </c>
      <c r="N135" s="4"/>
    </row>
    <row r="136" spans="1:14">
      <c r="A136" t="s">
        <v>130</v>
      </c>
      <c r="B136">
        <v>0</v>
      </c>
      <c r="C136">
        <v>0</v>
      </c>
      <c r="D136">
        <v>0</v>
      </c>
      <c r="E136">
        <v>0</v>
      </c>
      <c r="F136" s="4"/>
      <c r="I136" s="2" t="s">
        <v>133</v>
      </c>
      <c r="J136">
        <f t="shared" si="8"/>
        <v>0</v>
      </c>
      <c r="K136">
        <f t="shared" si="9"/>
        <v>0</v>
      </c>
      <c r="L136">
        <f t="shared" si="10"/>
        <v>0</v>
      </c>
      <c r="M136">
        <f t="shared" si="11"/>
        <v>0</v>
      </c>
      <c r="N136" s="4"/>
    </row>
    <row r="137" spans="1:14">
      <c r="A137" t="s">
        <v>142</v>
      </c>
      <c r="B137">
        <v>0</v>
      </c>
      <c r="C137">
        <v>0</v>
      </c>
      <c r="D137">
        <v>0</v>
      </c>
      <c r="E137">
        <v>0</v>
      </c>
      <c r="F137" s="4"/>
      <c r="I137" s="2" t="s">
        <v>134</v>
      </c>
      <c r="J137">
        <f t="shared" si="8"/>
        <v>0</v>
      </c>
      <c r="K137">
        <f t="shared" si="9"/>
        <v>0</v>
      </c>
      <c r="L137">
        <f t="shared" si="10"/>
        <v>0</v>
      </c>
      <c r="M137">
        <f t="shared" si="11"/>
        <v>0</v>
      </c>
      <c r="N137" s="4"/>
    </row>
    <row r="138" spans="1:14">
      <c r="A138" t="s">
        <v>148</v>
      </c>
      <c r="B138">
        <v>1</v>
      </c>
      <c r="C138">
        <v>2</v>
      </c>
      <c r="D138">
        <v>1</v>
      </c>
      <c r="E138">
        <v>2</v>
      </c>
      <c r="F138" s="4"/>
      <c r="I138" s="2" t="s">
        <v>135</v>
      </c>
      <c r="J138">
        <f t="shared" si="8"/>
        <v>0</v>
      </c>
      <c r="K138">
        <f t="shared" si="9"/>
        <v>0</v>
      </c>
      <c r="L138">
        <f t="shared" si="10"/>
        <v>0</v>
      </c>
      <c r="M138">
        <f t="shared" si="11"/>
        <v>0</v>
      </c>
      <c r="N138" s="4"/>
    </row>
    <row r="139" spans="1:14">
      <c r="A139" t="s">
        <v>151</v>
      </c>
      <c r="B139">
        <v>0</v>
      </c>
      <c r="C139">
        <v>0</v>
      </c>
      <c r="D139">
        <v>0</v>
      </c>
      <c r="E139">
        <v>0</v>
      </c>
      <c r="F139" s="4"/>
      <c r="I139" s="2" t="s">
        <v>136</v>
      </c>
      <c r="J139">
        <f t="shared" si="8"/>
        <v>0</v>
      </c>
      <c r="K139">
        <f t="shared" si="9"/>
        <v>0</v>
      </c>
      <c r="L139">
        <f t="shared" si="10"/>
        <v>0</v>
      </c>
      <c r="M139">
        <f t="shared" si="11"/>
        <v>0</v>
      </c>
      <c r="N139" s="4"/>
    </row>
    <row r="140" spans="1:14">
      <c r="A140" t="s">
        <v>381</v>
      </c>
      <c r="B140">
        <v>2060</v>
      </c>
      <c r="C140">
        <v>0</v>
      </c>
      <c r="D140">
        <v>0</v>
      </c>
      <c r="E140">
        <v>0</v>
      </c>
      <c r="F140" s="4"/>
      <c r="I140" s="2" t="s">
        <v>137</v>
      </c>
      <c r="J140">
        <f t="shared" si="8"/>
        <v>0</v>
      </c>
      <c r="K140">
        <f t="shared" si="9"/>
        <v>0</v>
      </c>
      <c r="L140">
        <f t="shared" si="10"/>
        <v>0</v>
      </c>
      <c r="M140">
        <f t="shared" si="11"/>
        <v>0</v>
      </c>
      <c r="N140" s="4"/>
    </row>
    <row r="141" spans="1:14">
      <c r="A141" t="s">
        <v>163</v>
      </c>
      <c r="B141">
        <v>0</v>
      </c>
      <c r="C141">
        <v>0</v>
      </c>
      <c r="D141">
        <v>0</v>
      </c>
      <c r="E141">
        <v>0</v>
      </c>
      <c r="F141" s="4"/>
      <c r="I141" s="2" t="s">
        <v>138</v>
      </c>
      <c r="J141">
        <f t="shared" si="8"/>
        <v>0</v>
      </c>
      <c r="K141">
        <f t="shared" si="9"/>
        <v>0</v>
      </c>
      <c r="L141">
        <f t="shared" si="10"/>
        <v>0</v>
      </c>
      <c r="M141">
        <f t="shared" si="11"/>
        <v>0</v>
      </c>
      <c r="N141" s="4"/>
    </row>
    <row r="142" spans="1:14">
      <c r="A142" t="s">
        <v>166</v>
      </c>
      <c r="B142">
        <v>0</v>
      </c>
      <c r="C142">
        <v>0</v>
      </c>
      <c r="D142">
        <v>0</v>
      </c>
      <c r="E142">
        <v>0</v>
      </c>
      <c r="F142" s="4"/>
      <c r="I142" s="2" t="s">
        <v>139</v>
      </c>
      <c r="J142">
        <f t="shared" si="8"/>
        <v>0</v>
      </c>
      <c r="K142">
        <f t="shared" si="9"/>
        <v>0</v>
      </c>
      <c r="L142">
        <f t="shared" si="10"/>
        <v>0</v>
      </c>
      <c r="M142">
        <f t="shared" si="11"/>
        <v>0</v>
      </c>
      <c r="N142" s="4"/>
    </row>
    <row r="143" spans="1:14">
      <c r="A143" t="s">
        <v>167</v>
      </c>
      <c r="B143">
        <v>1</v>
      </c>
      <c r="C143">
        <v>19</v>
      </c>
      <c r="D143">
        <v>0</v>
      </c>
      <c r="E143">
        <v>15</v>
      </c>
      <c r="F143" s="4"/>
      <c r="I143" s="2" t="s">
        <v>140</v>
      </c>
      <c r="J143">
        <f t="shared" si="8"/>
        <v>0</v>
      </c>
      <c r="K143">
        <f t="shared" si="9"/>
        <v>0</v>
      </c>
      <c r="L143">
        <f t="shared" si="10"/>
        <v>0</v>
      </c>
      <c r="M143">
        <f t="shared" si="11"/>
        <v>0</v>
      </c>
      <c r="N143" s="4"/>
    </row>
    <row r="144" spans="1:14">
      <c r="A144" t="s">
        <v>382</v>
      </c>
      <c r="B144">
        <v>300</v>
      </c>
      <c r="C144">
        <v>30</v>
      </c>
      <c r="D144">
        <v>0</v>
      </c>
      <c r="E144">
        <v>0</v>
      </c>
      <c r="F144" s="4"/>
      <c r="I144" s="2" t="s">
        <v>141</v>
      </c>
      <c r="J144">
        <f t="shared" si="8"/>
        <v>0</v>
      </c>
      <c r="K144">
        <f t="shared" si="9"/>
        <v>0</v>
      </c>
      <c r="L144">
        <f t="shared" si="10"/>
        <v>0</v>
      </c>
      <c r="M144">
        <f t="shared" si="11"/>
        <v>0</v>
      </c>
      <c r="N144" s="4"/>
    </row>
    <row r="145" spans="1:14">
      <c r="A145" t="s">
        <v>383</v>
      </c>
      <c r="B145">
        <v>5</v>
      </c>
      <c r="C145">
        <v>0</v>
      </c>
      <c r="D145">
        <v>0</v>
      </c>
      <c r="E145">
        <v>0</v>
      </c>
      <c r="F145" s="4"/>
      <c r="I145" s="2" t="s">
        <v>142</v>
      </c>
      <c r="J145">
        <f t="shared" si="8"/>
        <v>0</v>
      </c>
      <c r="K145">
        <f t="shared" si="9"/>
        <v>0</v>
      </c>
      <c r="L145">
        <f t="shared" si="10"/>
        <v>0</v>
      </c>
      <c r="M145">
        <f t="shared" si="11"/>
        <v>0</v>
      </c>
      <c r="N145" s="4"/>
    </row>
    <row r="146" spans="1:14">
      <c r="A146" t="s">
        <v>198</v>
      </c>
      <c r="B146">
        <v>0</v>
      </c>
      <c r="C146">
        <v>6</v>
      </c>
      <c r="D146">
        <v>0</v>
      </c>
      <c r="E146">
        <v>4</v>
      </c>
      <c r="F146" s="4"/>
      <c r="I146" s="2" t="s">
        <v>143</v>
      </c>
      <c r="J146">
        <f t="shared" si="8"/>
        <v>0</v>
      </c>
      <c r="K146">
        <f t="shared" si="9"/>
        <v>0</v>
      </c>
      <c r="L146">
        <f t="shared" si="10"/>
        <v>0</v>
      </c>
      <c r="M146">
        <f t="shared" si="11"/>
        <v>0</v>
      </c>
      <c r="N146" s="4"/>
    </row>
    <row r="147" spans="1:14">
      <c r="A147" t="s">
        <v>199</v>
      </c>
      <c r="B147">
        <v>0</v>
      </c>
      <c r="C147">
        <v>6</v>
      </c>
      <c r="D147">
        <v>0</v>
      </c>
      <c r="E147">
        <v>0</v>
      </c>
      <c r="F147" s="4"/>
      <c r="I147" s="2" t="s">
        <v>144</v>
      </c>
      <c r="J147">
        <f t="shared" si="8"/>
        <v>0</v>
      </c>
      <c r="K147">
        <f t="shared" si="9"/>
        <v>0</v>
      </c>
      <c r="L147">
        <f t="shared" si="10"/>
        <v>0</v>
      </c>
      <c r="M147">
        <f t="shared" si="11"/>
        <v>0</v>
      </c>
      <c r="N147" s="4"/>
    </row>
    <row r="148" spans="1:14">
      <c r="A148" t="s">
        <v>200</v>
      </c>
      <c r="B148">
        <v>0</v>
      </c>
      <c r="C148">
        <v>0</v>
      </c>
      <c r="D148">
        <v>0</v>
      </c>
      <c r="E148">
        <v>0</v>
      </c>
      <c r="F148" s="4"/>
      <c r="I148" s="2" t="s">
        <v>145</v>
      </c>
      <c r="J148">
        <f t="shared" si="8"/>
        <v>0</v>
      </c>
      <c r="K148">
        <f t="shared" si="9"/>
        <v>0</v>
      </c>
      <c r="L148">
        <f t="shared" si="10"/>
        <v>0</v>
      </c>
      <c r="M148">
        <f t="shared" si="11"/>
        <v>0</v>
      </c>
      <c r="N148" s="4"/>
    </row>
    <row r="149" spans="1:14">
      <c r="A149" t="s">
        <v>215</v>
      </c>
      <c r="B149">
        <v>6</v>
      </c>
      <c r="C149">
        <v>22</v>
      </c>
      <c r="D149">
        <v>0</v>
      </c>
      <c r="E149">
        <v>21</v>
      </c>
      <c r="F149" s="4"/>
      <c r="I149" s="2" t="s">
        <v>146</v>
      </c>
      <c r="J149">
        <f t="shared" si="8"/>
        <v>0</v>
      </c>
      <c r="K149">
        <f t="shared" si="9"/>
        <v>0</v>
      </c>
      <c r="L149">
        <f t="shared" si="10"/>
        <v>0</v>
      </c>
      <c r="M149">
        <f t="shared" si="11"/>
        <v>0</v>
      </c>
      <c r="N149" s="4"/>
    </row>
    <row r="150" spans="1:14">
      <c r="A150" t="s">
        <v>216</v>
      </c>
      <c r="B150">
        <v>9</v>
      </c>
      <c r="C150">
        <v>18</v>
      </c>
      <c r="D150">
        <v>0</v>
      </c>
      <c r="E150">
        <v>26</v>
      </c>
      <c r="F150" s="4"/>
      <c r="I150" s="2" t="s">
        <v>147</v>
      </c>
      <c r="J150">
        <f t="shared" si="8"/>
        <v>0</v>
      </c>
      <c r="K150">
        <f t="shared" si="9"/>
        <v>0</v>
      </c>
      <c r="L150">
        <f t="shared" si="10"/>
        <v>0</v>
      </c>
      <c r="M150">
        <f t="shared" si="11"/>
        <v>0</v>
      </c>
      <c r="N150" s="4"/>
    </row>
    <row r="151" spans="1:14">
      <c r="A151" t="s">
        <v>217</v>
      </c>
      <c r="B151">
        <v>1</v>
      </c>
      <c r="C151">
        <v>9</v>
      </c>
      <c r="D151">
        <v>0</v>
      </c>
      <c r="E151">
        <v>10</v>
      </c>
      <c r="F151" s="4"/>
      <c r="I151" s="2" t="s">
        <v>148</v>
      </c>
      <c r="J151">
        <f t="shared" si="8"/>
        <v>1</v>
      </c>
      <c r="K151">
        <f t="shared" si="9"/>
        <v>2</v>
      </c>
      <c r="L151">
        <f t="shared" si="10"/>
        <v>1</v>
      </c>
      <c r="M151">
        <f t="shared" si="11"/>
        <v>2</v>
      </c>
      <c r="N151" s="4"/>
    </row>
    <row r="152" spans="1:14">
      <c r="A152" t="s">
        <v>209</v>
      </c>
      <c r="B152">
        <v>10</v>
      </c>
      <c r="C152">
        <v>20</v>
      </c>
      <c r="D152">
        <v>0</v>
      </c>
      <c r="E152">
        <v>11</v>
      </c>
      <c r="F152" s="4"/>
      <c r="I152" s="2" t="s">
        <v>149</v>
      </c>
      <c r="J152">
        <f t="shared" si="8"/>
        <v>0</v>
      </c>
      <c r="K152">
        <f t="shared" si="9"/>
        <v>0</v>
      </c>
      <c r="L152">
        <f t="shared" si="10"/>
        <v>0</v>
      </c>
      <c r="M152">
        <f t="shared" si="11"/>
        <v>0</v>
      </c>
      <c r="N152" s="4"/>
    </row>
    <row r="153" spans="1:14">
      <c r="A153" t="s">
        <v>210</v>
      </c>
      <c r="B153">
        <v>11</v>
      </c>
      <c r="C153">
        <v>20</v>
      </c>
      <c r="D153">
        <v>0</v>
      </c>
      <c r="E153">
        <v>7</v>
      </c>
      <c r="F153" s="4"/>
      <c r="I153" s="2" t="s">
        <v>150</v>
      </c>
      <c r="J153">
        <f t="shared" si="8"/>
        <v>0</v>
      </c>
      <c r="K153">
        <f t="shared" si="9"/>
        <v>0</v>
      </c>
      <c r="L153">
        <f t="shared" si="10"/>
        <v>0</v>
      </c>
      <c r="M153">
        <f t="shared" si="11"/>
        <v>0</v>
      </c>
      <c r="N153" s="4"/>
    </row>
    <row r="154" spans="1:14">
      <c r="A154" t="s">
        <v>211</v>
      </c>
      <c r="B154">
        <v>29</v>
      </c>
      <c r="C154">
        <v>40</v>
      </c>
      <c r="D154">
        <v>0</v>
      </c>
      <c r="E154">
        <v>55</v>
      </c>
      <c r="F154" s="4"/>
      <c r="I154" s="2" t="s">
        <v>151</v>
      </c>
      <c r="J154">
        <f t="shared" si="8"/>
        <v>0</v>
      </c>
      <c r="K154">
        <f t="shared" si="9"/>
        <v>0</v>
      </c>
      <c r="L154">
        <f t="shared" si="10"/>
        <v>0</v>
      </c>
      <c r="M154">
        <f t="shared" si="11"/>
        <v>0</v>
      </c>
      <c r="N154" s="4"/>
    </row>
    <row r="155" spans="1:14">
      <c r="A155" t="s">
        <v>212</v>
      </c>
      <c r="B155">
        <v>37</v>
      </c>
      <c r="C155">
        <v>40</v>
      </c>
      <c r="D155">
        <v>0</v>
      </c>
      <c r="E155">
        <v>50</v>
      </c>
      <c r="F155" s="4"/>
      <c r="I155" s="2" t="s">
        <v>152</v>
      </c>
      <c r="J155">
        <f t="shared" si="8"/>
        <v>0</v>
      </c>
      <c r="K155">
        <f t="shared" si="9"/>
        <v>0</v>
      </c>
      <c r="L155">
        <f t="shared" si="10"/>
        <v>0</v>
      </c>
      <c r="M155">
        <f t="shared" si="11"/>
        <v>0</v>
      </c>
      <c r="N155" s="4"/>
    </row>
    <row r="156" spans="1:14">
      <c r="A156" t="s">
        <v>214</v>
      </c>
      <c r="B156">
        <v>23</v>
      </c>
      <c r="C156">
        <v>0</v>
      </c>
      <c r="D156">
        <v>0</v>
      </c>
      <c r="E156">
        <v>19</v>
      </c>
      <c r="F156" s="4"/>
      <c r="I156" s="2" t="s">
        <v>153</v>
      </c>
      <c r="J156">
        <f t="shared" si="8"/>
        <v>0</v>
      </c>
      <c r="K156">
        <f t="shared" si="9"/>
        <v>0</v>
      </c>
      <c r="L156">
        <f t="shared" si="10"/>
        <v>0</v>
      </c>
      <c r="M156">
        <f t="shared" si="11"/>
        <v>0</v>
      </c>
      <c r="N156" s="4"/>
    </row>
    <row r="157" spans="1:14">
      <c r="A157" t="s">
        <v>384</v>
      </c>
      <c r="B157">
        <v>0</v>
      </c>
      <c r="C157">
        <v>0</v>
      </c>
      <c r="D157">
        <v>0</v>
      </c>
      <c r="E157">
        <v>0</v>
      </c>
      <c r="F157" s="4"/>
      <c r="I157" s="2" t="s">
        <v>154</v>
      </c>
      <c r="J157">
        <f t="shared" si="8"/>
        <v>0</v>
      </c>
      <c r="K157">
        <f t="shared" si="9"/>
        <v>0</v>
      </c>
      <c r="L157">
        <f t="shared" si="10"/>
        <v>0</v>
      </c>
      <c r="M157">
        <f t="shared" si="11"/>
        <v>0</v>
      </c>
      <c r="N157" s="4"/>
    </row>
    <row r="158" spans="1:14">
      <c r="A158" t="s">
        <v>190</v>
      </c>
      <c r="B158">
        <v>4</v>
      </c>
      <c r="C158">
        <v>39</v>
      </c>
      <c r="D158">
        <v>0</v>
      </c>
      <c r="E158">
        <v>29</v>
      </c>
      <c r="F158" s="4"/>
      <c r="I158" s="2" t="s">
        <v>155</v>
      </c>
      <c r="J158">
        <f t="shared" si="8"/>
        <v>0</v>
      </c>
      <c r="K158">
        <f t="shared" si="9"/>
        <v>0</v>
      </c>
      <c r="L158">
        <f t="shared" si="10"/>
        <v>0</v>
      </c>
      <c r="M158">
        <f t="shared" si="11"/>
        <v>0</v>
      </c>
      <c r="N158" s="4"/>
    </row>
    <row r="159" spans="1:14">
      <c r="A159" t="s">
        <v>191</v>
      </c>
      <c r="B159">
        <v>18</v>
      </c>
      <c r="C159">
        <v>28</v>
      </c>
      <c r="D159">
        <v>0</v>
      </c>
      <c r="E159">
        <v>34</v>
      </c>
      <c r="F159" s="4"/>
      <c r="I159" s="2" t="s">
        <v>156</v>
      </c>
      <c r="J159">
        <f t="shared" si="8"/>
        <v>0</v>
      </c>
      <c r="K159">
        <f t="shared" si="9"/>
        <v>0</v>
      </c>
      <c r="L159">
        <f t="shared" si="10"/>
        <v>0</v>
      </c>
      <c r="M159">
        <f t="shared" si="11"/>
        <v>0</v>
      </c>
      <c r="N159" s="4"/>
    </row>
    <row r="160" spans="1:14">
      <c r="A160" t="s">
        <v>197</v>
      </c>
      <c r="B160">
        <v>0</v>
      </c>
      <c r="C160">
        <v>0</v>
      </c>
      <c r="D160">
        <v>0</v>
      </c>
      <c r="E160">
        <v>0</v>
      </c>
      <c r="F160" s="4"/>
      <c r="I160" s="2" t="s">
        <v>157</v>
      </c>
      <c r="J160">
        <f t="shared" si="8"/>
        <v>0</v>
      </c>
      <c r="K160">
        <f t="shared" si="9"/>
        <v>0</v>
      </c>
      <c r="L160">
        <f t="shared" si="10"/>
        <v>0</v>
      </c>
      <c r="M160">
        <f t="shared" si="11"/>
        <v>0</v>
      </c>
      <c r="N160" s="4"/>
    </row>
    <row r="161" spans="1:14">
      <c r="A161" t="s">
        <v>385</v>
      </c>
      <c r="B161">
        <v>0</v>
      </c>
      <c r="C161">
        <v>0</v>
      </c>
      <c r="D161">
        <v>0</v>
      </c>
      <c r="E161">
        <v>0</v>
      </c>
      <c r="F161" s="4"/>
      <c r="I161" s="2" t="s">
        <v>158</v>
      </c>
      <c r="J161">
        <f t="shared" si="8"/>
        <v>0</v>
      </c>
      <c r="K161">
        <f t="shared" si="9"/>
        <v>0</v>
      </c>
      <c r="L161">
        <f t="shared" si="10"/>
        <v>0</v>
      </c>
      <c r="M161">
        <f t="shared" si="11"/>
        <v>0</v>
      </c>
      <c r="N161" s="4"/>
    </row>
    <row r="162" spans="1:14">
      <c r="A162" t="s">
        <v>386</v>
      </c>
      <c r="B162">
        <v>0</v>
      </c>
      <c r="C162">
        <v>0</v>
      </c>
      <c r="D162">
        <v>0</v>
      </c>
      <c r="E162">
        <v>0</v>
      </c>
      <c r="F162" s="4"/>
      <c r="I162" s="2" t="s">
        <v>159</v>
      </c>
      <c r="J162">
        <f t="shared" si="8"/>
        <v>0</v>
      </c>
      <c r="K162">
        <f t="shared" si="9"/>
        <v>0</v>
      </c>
      <c r="L162">
        <f t="shared" si="10"/>
        <v>0</v>
      </c>
      <c r="M162">
        <f t="shared" si="11"/>
        <v>0</v>
      </c>
      <c r="N162" s="4"/>
    </row>
    <row r="163" spans="1:14">
      <c r="A163" t="s">
        <v>387</v>
      </c>
      <c r="B163">
        <v>0</v>
      </c>
      <c r="C163">
        <v>0</v>
      </c>
      <c r="D163">
        <v>0</v>
      </c>
      <c r="E163">
        <v>0</v>
      </c>
      <c r="F163" s="4"/>
      <c r="I163" s="2" t="s">
        <v>160</v>
      </c>
      <c r="J163">
        <f t="shared" si="8"/>
        <v>0</v>
      </c>
      <c r="K163">
        <f t="shared" si="9"/>
        <v>0</v>
      </c>
      <c r="L163">
        <f t="shared" si="10"/>
        <v>0</v>
      </c>
      <c r="M163">
        <f t="shared" si="11"/>
        <v>0</v>
      </c>
      <c r="N163" s="4"/>
    </row>
    <row r="164" spans="1:14">
      <c r="A164" t="s">
        <v>192</v>
      </c>
      <c r="B164">
        <v>2</v>
      </c>
      <c r="C164">
        <v>0</v>
      </c>
      <c r="D164">
        <v>2</v>
      </c>
      <c r="E164">
        <v>0</v>
      </c>
      <c r="F164" s="4"/>
      <c r="I164" s="2" t="s">
        <v>161</v>
      </c>
      <c r="J164">
        <f t="shared" si="8"/>
        <v>0</v>
      </c>
      <c r="K164">
        <f t="shared" si="9"/>
        <v>0</v>
      </c>
      <c r="L164">
        <f t="shared" si="10"/>
        <v>0</v>
      </c>
      <c r="M164">
        <f t="shared" si="11"/>
        <v>0</v>
      </c>
      <c r="N164" s="4"/>
    </row>
    <row r="165" spans="1:14">
      <c r="A165" t="s">
        <v>193</v>
      </c>
      <c r="B165">
        <v>4</v>
      </c>
      <c r="C165">
        <v>18</v>
      </c>
      <c r="D165">
        <v>0</v>
      </c>
      <c r="E165">
        <v>17</v>
      </c>
      <c r="F165" s="4"/>
      <c r="I165" s="2" t="s">
        <v>162</v>
      </c>
      <c r="J165">
        <f t="shared" si="8"/>
        <v>0</v>
      </c>
      <c r="K165">
        <f t="shared" si="9"/>
        <v>0</v>
      </c>
      <c r="L165">
        <f t="shared" si="10"/>
        <v>0</v>
      </c>
      <c r="M165">
        <f t="shared" si="11"/>
        <v>0</v>
      </c>
      <c r="N165" s="4"/>
    </row>
    <row r="166" spans="1:14">
      <c r="A166" t="s">
        <v>194</v>
      </c>
      <c r="B166">
        <v>8</v>
      </c>
      <c r="C166">
        <v>0</v>
      </c>
      <c r="D166">
        <v>0</v>
      </c>
      <c r="E166">
        <v>7</v>
      </c>
      <c r="F166" s="4"/>
      <c r="I166" s="2" t="s">
        <v>163</v>
      </c>
      <c r="J166">
        <f t="shared" si="8"/>
        <v>0</v>
      </c>
      <c r="K166">
        <f t="shared" si="9"/>
        <v>0</v>
      </c>
      <c r="L166">
        <f t="shared" si="10"/>
        <v>0</v>
      </c>
      <c r="M166">
        <f t="shared" si="11"/>
        <v>0</v>
      </c>
      <c r="N166" s="4"/>
    </row>
    <row r="167" spans="1:14">
      <c r="A167" t="s">
        <v>195</v>
      </c>
      <c r="B167">
        <v>3</v>
      </c>
      <c r="C167">
        <v>5</v>
      </c>
      <c r="D167">
        <v>0</v>
      </c>
      <c r="E167">
        <v>4</v>
      </c>
      <c r="F167" s="4"/>
      <c r="I167" s="2" t="s">
        <v>164</v>
      </c>
      <c r="J167">
        <f t="shared" si="8"/>
        <v>0</v>
      </c>
      <c r="K167">
        <f t="shared" si="9"/>
        <v>0</v>
      </c>
      <c r="L167">
        <f t="shared" si="10"/>
        <v>0</v>
      </c>
      <c r="M167">
        <f t="shared" si="11"/>
        <v>0</v>
      </c>
      <c r="N167" s="4"/>
    </row>
    <row r="168" spans="1:14">
      <c r="A168" t="s">
        <v>196</v>
      </c>
      <c r="B168">
        <v>1</v>
      </c>
      <c r="C168">
        <v>8</v>
      </c>
      <c r="D168">
        <v>0</v>
      </c>
      <c r="E168">
        <v>2</v>
      </c>
      <c r="F168" s="4"/>
      <c r="I168" s="2" t="s">
        <v>165</v>
      </c>
      <c r="J168">
        <f t="shared" si="8"/>
        <v>0</v>
      </c>
      <c r="K168">
        <f t="shared" si="9"/>
        <v>0</v>
      </c>
      <c r="L168">
        <f t="shared" si="10"/>
        <v>0</v>
      </c>
      <c r="M168">
        <f t="shared" si="11"/>
        <v>0</v>
      </c>
      <c r="N168" s="4"/>
    </row>
    <row r="169" spans="1:14">
      <c r="A169" t="s">
        <v>388</v>
      </c>
      <c r="B169">
        <v>0</v>
      </c>
      <c r="C169">
        <v>0</v>
      </c>
      <c r="D169">
        <v>0</v>
      </c>
      <c r="E169">
        <v>0</v>
      </c>
      <c r="F169" s="4"/>
      <c r="I169" s="2" t="s">
        <v>166</v>
      </c>
      <c r="J169">
        <f t="shared" si="8"/>
        <v>0</v>
      </c>
      <c r="K169">
        <f t="shared" si="9"/>
        <v>0</v>
      </c>
      <c r="L169">
        <f t="shared" si="10"/>
        <v>0</v>
      </c>
      <c r="M169">
        <f t="shared" si="11"/>
        <v>0</v>
      </c>
      <c r="N169" s="4"/>
    </row>
    <row r="170" spans="1:14">
      <c r="A170" t="s">
        <v>389</v>
      </c>
      <c r="B170">
        <v>0</v>
      </c>
      <c r="C170">
        <v>0</v>
      </c>
      <c r="D170">
        <v>0</v>
      </c>
      <c r="E170">
        <v>0</v>
      </c>
      <c r="F170" s="4"/>
      <c r="I170" s="2" t="s">
        <v>167</v>
      </c>
      <c r="J170">
        <f t="shared" si="8"/>
        <v>1</v>
      </c>
      <c r="K170">
        <f t="shared" si="9"/>
        <v>19</v>
      </c>
      <c r="L170">
        <f t="shared" si="10"/>
        <v>0</v>
      </c>
      <c r="M170">
        <f t="shared" si="11"/>
        <v>15</v>
      </c>
      <c r="N170" s="4">
        <v>6</v>
      </c>
    </row>
    <row r="171" spans="1:14">
      <c r="A171" t="s">
        <v>390</v>
      </c>
      <c r="B171">
        <v>0</v>
      </c>
      <c r="C171">
        <v>0</v>
      </c>
      <c r="D171">
        <v>0</v>
      </c>
      <c r="E171">
        <v>0</v>
      </c>
      <c r="F171" s="4"/>
      <c r="I171" s="2" t="s">
        <v>168</v>
      </c>
      <c r="J171">
        <f t="shared" si="8"/>
        <v>0</v>
      </c>
      <c r="K171">
        <f t="shared" si="9"/>
        <v>0</v>
      </c>
      <c r="L171">
        <f t="shared" si="10"/>
        <v>0</v>
      </c>
      <c r="M171">
        <f t="shared" si="11"/>
        <v>0</v>
      </c>
      <c r="N171" s="4"/>
    </row>
    <row r="172" spans="1:14">
      <c r="A172" t="s">
        <v>391</v>
      </c>
      <c r="B172">
        <v>0</v>
      </c>
      <c r="C172">
        <v>0</v>
      </c>
      <c r="D172">
        <v>0</v>
      </c>
      <c r="E172">
        <v>0</v>
      </c>
      <c r="F172" s="4"/>
      <c r="I172" s="2" t="s">
        <v>169</v>
      </c>
      <c r="J172">
        <f t="shared" si="8"/>
        <v>0</v>
      </c>
      <c r="K172">
        <f t="shared" si="9"/>
        <v>0</v>
      </c>
      <c r="L172">
        <f t="shared" si="10"/>
        <v>0</v>
      </c>
      <c r="M172">
        <f t="shared" si="11"/>
        <v>0</v>
      </c>
      <c r="N172" s="4"/>
    </row>
    <row r="173" spans="1:14">
      <c r="A173" t="s">
        <v>392</v>
      </c>
      <c r="B173">
        <v>0</v>
      </c>
      <c r="C173">
        <v>0</v>
      </c>
      <c r="D173">
        <v>0</v>
      </c>
      <c r="E173">
        <v>0</v>
      </c>
      <c r="F173" s="4"/>
      <c r="I173" s="2" t="s">
        <v>170</v>
      </c>
      <c r="J173">
        <f t="shared" si="8"/>
        <v>0</v>
      </c>
      <c r="K173">
        <f t="shared" si="9"/>
        <v>0</v>
      </c>
      <c r="L173">
        <f t="shared" si="10"/>
        <v>0</v>
      </c>
      <c r="M173">
        <f t="shared" si="11"/>
        <v>0</v>
      </c>
      <c r="N173" s="4"/>
    </row>
    <row r="174" spans="1:14">
      <c r="A174" t="s">
        <v>393</v>
      </c>
      <c r="B174">
        <v>0</v>
      </c>
      <c r="C174">
        <v>0</v>
      </c>
      <c r="D174">
        <v>0</v>
      </c>
      <c r="E174">
        <v>0</v>
      </c>
      <c r="F174" s="4"/>
      <c r="I174" s="2" t="s">
        <v>171</v>
      </c>
      <c r="J174">
        <f t="shared" si="8"/>
        <v>0</v>
      </c>
      <c r="K174">
        <f t="shared" si="9"/>
        <v>0</v>
      </c>
      <c r="L174">
        <f t="shared" si="10"/>
        <v>0</v>
      </c>
      <c r="M174">
        <f t="shared" si="11"/>
        <v>0</v>
      </c>
      <c r="N174" s="4"/>
    </row>
    <row r="175" spans="1:14">
      <c r="A175" t="s">
        <v>394</v>
      </c>
      <c r="B175">
        <v>0</v>
      </c>
      <c r="C175">
        <v>0</v>
      </c>
      <c r="D175">
        <v>0</v>
      </c>
      <c r="E175">
        <v>0</v>
      </c>
      <c r="F175" s="4"/>
      <c r="I175" s="1" t="s">
        <v>172</v>
      </c>
      <c r="J175">
        <f t="shared" si="8"/>
        <v>0</v>
      </c>
      <c r="K175">
        <f t="shared" si="9"/>
        <v>0</v>
      </c>
      <c r="L175">
        <f t="shared" si="10"/>
        <v>0</v>
      </c>
      <c r="M175">
        <f t="shared" si="11"/>
        <v>0</v>
      </c>
      <c r="N175" s="4"/>
    </row>
    <row r="176" spans="1:14">
      <c r="A176" t="s">
        <v>395</v>
      </c>
      <c r="B176">
        <v>0</v>
      </c>
      <c r="C176">
        <v>0</v>
      </c>
      <c r="D176">
        <v>0</v>
      </c>
      <c r="E176">
        <v>0</v>
      </c>
      <c r="F176" s="4"/>
      <c r="I176" s="1" t="s">
        <v>173</v>
      </c>
      <c r="J176">
        <f t="shared" si="8"/>
        <v>0</v>
      </c>
      <c r="K176">
        <f t="shared" si="9"/>
        <v>0</v>
      </c>
      <c r="L176">
        <f t="shared" si="10"/>
        <v>0</v>
      </c>
      <c r="M176">
        <f t="shared" si="11"/>
        <v>0</v>
      </c>
      <c r="N176" s="4"/>
    </row>
    <row r="177" spans="1:14">
      <c r="A177" t="s">
        <v>396</v>
      </c>
      <c r="B177">
        <v>0</v>
      </c>
      <c r="C177">
        <v>0</v>
      </c>
      <c r="D177">
        <v>0</v>
      </c>
      <c r="E177">
        <v>0</v>
      </c>
      <c r="F177" s="4"/>
      <c r="I177" s="1" t="s">
        <v>174</v>
      </c>
      <c r="J177">
        <f t="shared" si="8"/>
        <v>34</v>
      </c>
      <c r="K177">
        <f t="shared" si="9"/>
        <v>40</v>
      </c>
      <c r="L177">
        <f t="shared" si="10"/>
        <v>0</v>
      </c>
      <c r="M177">
        <f t="shared" si="11"/>
        <v>24</v>
      </c>
      <c r="N177" s="4">
        <v>50</v>
      </c>
    </row>
    <row r="178" spans="1:14">
      <c r="A178" t="s">
        <v>397</v>
      </c>
      <c r="B178">
        <v>0</v>
      </c>
      <c r="C178">
        <v>0</v>
      </c>
      <c r="D178">
        <v>0</v>
      </c>
      <c r="E178">
        <v>0</v>
      </c>
      <c r="F178" s="4"/>
      <c r="I178" s="1" t="s">
        <v>175</v>
      </c>
      <c r="J178">
        <f t="shared" si="8"/>
        <v>41</v>
      </c>
      <c r="K178">
        <f t="shared" si="9"/>
        <v>0</v>
      </c>
      <c r="L178">
        <f t="shared" si="10"/>
        <v>0</v>
      </c>
      <c r="M178">
        <f t="shared" si="11"/>
        <v>13</v>
      </c>
      <c r="N178" s="4">
        <v>27</v>
      </c>
    </row>
    <row r="179" spans="1:14">
      <c r="A179" t="s">
        <v>398</v>
      </c>
      <c r="B179">
        <v>0</v>
      </c>
      <c r="C179">
        <v>0</v>
      </c>
      <c r="D179">
        <v>0</v>
      </c>
      <c r="E179">
        <v>0</v>
      </c>
      <c r="F179" s="4"/>
      <c r="I179" s="1" t="s">
        <v>176</v>
      </c>
      <c r="J179">
        <f t="shared" si="8"/>
        <v>30</v>
      </c>
      <c r="K179">
        <f t="shared" si="9"/>
        <v>20</v>
      </c>
      <c r="L179">
        <f t="shared" si="10"/>
        <v>0</v>
      </c>
      <c r="M179">
        <f t="shared" si="11"/>
        <v>10</v>
      </c>
      <c r="N179" s="4">
        <v>38</v>
      </c>
    </row>
    <row r="180" spans="1:14">
      <c r="A180" t="s">
        <v>399</v>
      </c>
      <c r="B180">
        <v>0</v>
      </c>
      <c r="C180">
        <v>0</v>
      </c>
      <c r="D180">
        <v>0</v>
      </c>
      <c r="E180">
        <v>0</v>
      </c>
      <c r="F180" s="4"/>
      <c r="I180" s="1" t="s">
        <v>177</v>
      </c>
      <c r="J180">
        <f t="shared" si="8"/>
        <v>24</v>
      </c>
      <c r="K180">
        <f t="shared" si="9"/>
        <v>40</v>
      </c>
      <c r="L180">
        <f t="shared" si="10"/>
        <v>0</v>
      </c>
      <c r="M180">
        <f t="shared" si="11"/>
        <v>46</v>
      </c>
      <c r="N180" s="4"/>
    </row>
    <row r="181" spans="1:14">
      <c r="A181" t="s">
        <v>400</v>
      </c>
      <c r="B181">
        <v>0</v>
      </c>
      <c r="C181">
        <v>0</v>
      </c>
      <c r="D181">
        <v>0</v>
      </c>
      <c r="E181">
        <v>0</v>
      </c>
      <c r="F181" s="4"/>
      <c r="I181" s="1" t="s">
        <v>178</v>
      </c>
      <c r="J181">
        <f t="shared" si="8"/>
        <v>31</v>
      </c>
      <c r="K181">
        <f t="shared" si="9"/>
        <v>20</v>
      </c>
      <c r="L181">
        <f t="shared" si="10"/>
        <v>0</v>
      </c>
      <c r="M181">
        <f t="shared" si="11"/>
        <v>22</v>
      </c>
      <c r="N181" s="4">
        <v>27</v>
      </c>
    </row>
    <row r="182" spans="1:14">
      <c r="A182" t="s">
        <v>401</v>
      </c>
      <c r="B182">
        <v>0</v>
      </c>
      <c r="C182">
        <v>0</v>
      </c>
      <c r="D182">
        <v>0</v>
      </c>
      <c r="E182">
        <v>0</v>
      </c>
      <c r="F182" s="4"/>
      <c r="I182" s="1" t="s">
        <v>179</v>
      </c>
      <c r="J182">
        <f t="shared" si="8"/>
        <v>39</v>
      </c>
      <c r="K182">
        <f t="shared" si="9"/>
        <v>100</v>
      </c>
      <c r="L182">
        <f t="shared" si="10"/>
        <v>0</v>
      </c>
      <c r="M182">
        <f t="shared" si="11"/>
        <v>79</v>
      </c>
      <c r="N182" s="4">
        <v>55</v>
      </c>
    </row>
    <row r="183" spans="1:14">
      <c r="A183" t="s">
        <v>402</v>
      </c>
      <c r="B183">
        <v>0</v>
      </c>
      <c r="C183">
        <v>0</v>
      </c>
      <c r="D183">
        <v>0</v>
      </c>
      <c r="E183">
        <v>0</v>
      </c>
      <c r="F183" s="4"/>
      <c r="I183" s="1" t="s">
        <v>180</v>
      </c>
      <c r="J183">
        <f t="shared" si="8"/>
        <v>28</v>
      </c>
      <c r="K183">
        <f t="shared" si="9"/>
        <v>0</v>
      </c>
      <c r="L183">
        <f t="shared" si="10"/>
        <v>0</v>
      </c>
      <c r="M183">
        <f t="shared" si="11"/>
        <v>12</v>
      </c>
      <c r="N183" s="4">
        <v>15</v>
      </c>
    </row>
    <row r="184" spans="1:14">
      <c r="A184" t="s">
        <v>403</v>
      </c>
      <c r="B184">
        <v>0</v>
      </c>
      <c r="C184">
        <v>0</v>
      </c>
      <c r="D184">
        <v>0</v>
      </c>
      <c r="E184">
        <v>0</v>
      </c>
      <c r="F184" s="4"/>
      <c r="I184" s="1" t="s">
        <v>181</v>
      </c>
      <c r="J184">
        <f t="shared" si="8"/>
        <v>68</v>
      </c>
      <c r="K184">
        <f t="shared" si="9"/>
        <v>100</v>
      </c>
      <c r="L184">
        <f t="shared" si="10"/>
        <v>0</v>
      </c>
      <c r="M184">
        <f t="shared" si="11"/>
        <v>124</v>
      </c>
      <c r="N184" s="4">
        <v>33</v>
      </c>
    </row>
    <row r="185" spans="1:14">
      <c r="A185" t="s">
        <v>404</v>
      </c>
      <c r="B185">
        <v>0</v>
      </c>
      <c r="C185">
        <v>0</v>
      </c>
      <c r="D185">
        <v>0</v>
      </c>
      <c r="E185">
        <v>0</v>
      </c>
      <c r="F185" s="4"/>
      <c r="I185" s="1" t="s">
        <v>182</v>
      </c>
      <c r="J185">
        <f t="shared" si="8"/>
        <v>30</v>
      </c>
      <c r="K185">
        <f t="shared" si="9"/>
        <v>20</v>
      </c>
      <c r="L185">
        <f t="shared" si="10"/>
        <v>0</v>
      </c>
      <c r="M185">
        <f t="shared" si="11"/>
        <v>21</v>
      </c>
      <c r="N185" s="4">
        <v>28</v>
      </c>
    </row>
    <row r="186" spans="1:14">
      <c r="A186" t="s">
        <v>405</v>
      </c>
      <c r="B186">
        <v>0</v>
      </c>
      <c r="C186">
        <v>0</v>
      </c>
      <c r="D186">
        <v>0</v>
      </c>
      <c r="E186">
        <v>0</v>
      </c>
      <c r="F186" s="4"/>
      <c r="I186" s="1" t="s">
        <v>183</v>
      </c>
      <c r="J186">
        <f t="shared" si="8"/>
        <v>29</v>
      </c>
      <c r="K186">
        <f t="shared" si="9"/>
        <v>0</v>
      </c>
      <c r="L186">
        <f t="shared" si="10"/>
        <v>0</v>
      </c>
      <c r="M186">
        <f t="shared" si="11"/>
        <v>28</v>
      </c>
      <c r="N186" s="4"/>
    </row>
    <row r="187" spans="1:14">
      <c r="A187" t="s">
        <v>406</v>
      </c>
      <c r="B187">
        <v>0</v>
      </c>
      <c r="C187">
        <v>0</v>
      </c>
      <c r="D187">
        <v>0</v>
      </c>
      <c r="E187">
        <v>0</v>
      </c>
      <c r="F187" s="4"/>
      <c r="I187" s="1" t="s">
        <v>184</v>
      </c>
      <c r="J187">
        <f t="shared" si="8"/>
        <v>32</v>
      </c>
      <c r="K187">
        <f t="shared" si="9"/>
        <v>20</v>
      </c>
      <c r="L187">
        <f t="shared" si="10"/>
        <v>0</v>
      </c>
      <c r="M187">
        <f t="shared" si="11"/>
        <v>12</v>
      </c>
      <c r="N187" s="4">
        <v>31</v>
      </c>
    </row>
    <row r="188" spans="1:14">
      <c r="A188" t="s">
        <v>407</v>
      </c>
      <c r="B188">
        <v>0</v>
      </c>
      <c r="C188">
        <v>0</v>
      </c>
      <c r="D188">
        <v>0</v>
      </c>
      <c r="E188">
        <v>0</v>
      </c>
      <c r="F188" s="4"/>
      <c r="I188" s="1" t="s">
        <v>185</v>
      </c>
      <c r="J188">
        <f t="shared" si="8"/>
        <v>0</v>
      </c>
      <c r="K188">
        <f t="shared" si="9"/>
        <v>0</v>
      </c>
      <c r="L188">
        <f t="shared" si="10"/>
        <v>0</v>
      </c>
      <c r="M188">
        <f t="shared" si="11"/>
        <v>0</v>
      </c>
      <c r="N188" s="4"/>
    </row>
    <row r="189" spans="1:14">
      <c r="A189" t="s">
        <v>408</v>
      </c>
      <c r="B189">
        <v>0</v>
      </c>
      <c r="C189">
        <v>0</v>
      </c>
      <c r="D189">
        <v>0</v>
      </c>
      <c r="E189">
        <v>0</v>
      </c>
      <c r="F189" s="4"/>
      <c r="I189" s="1" t="s">
        <v>186</v>
      </c>
      <c r="J189">
        <f t="shared" si="8"/>
        <v>0</v>
      </c>
      <c r="K189">
        <f t="shared" si="9"/>
        <v>0</v>
      </c>
      <c r="L189">
        <f t="shared" si="10"/>
        <v>0</v>
      </c>
      <c r="M189">
        <f t="shared" si="11"/>
        <v>0</v>
      </c>
      <c r="N189" s="4"/>
    </row>
    <row r="190" spans="1:14">
      <c r="A190" t="s">
        <v>409</v>
      </c>
      <c r="B190">
        <v>0</v>
      </c>
      <c r="C190">
        <v>0</v>
      </c>
      <c r="D190">
        <v>0</v>
      </c>
      <c r="E190">
        <v>0</v>
      </c>
      <c r="F190" s="4"/>
      <c r="I190" s="1" t="s">
        <v>187</v>
      </c>
      <c r="J190">
        <f t="shared" si="8"/>
        <v>0</v>
      </c>
      <c r="K190">
        <f t="shared" si="9"/>
        <v>0</v>
      </c>
      <c r="L190">
        <f t="shared" si="10"/>
        <v>0</v>
      </c>
      <c r="M190">
        <f t="shared" si="11"/>
        <v>0</v>
      </c>
      <c r="N190" s="4"/>
    </row>
    <row r="191" spans="1:14">
      <c r="A191" t="s">
        <v>410</v>
      </c>
      <c r="B191">
        <v>0</v>
      </c>
      <c r="C191">
        <v>0</v>
      </c>
      <c r="D191">
        <v>0</v>
      </c>
      <c r="E191">
        <v>0</v>
      </c>
      <c r="F191" s="4"/>
      <c r="I191" s="1" t="s">
        <v>188</v>
      </c>
      <c r="J191">
        <f t="shared" si="8"/>
        <v>0</v>
      </c>
      <c r="K191">
        <f t="shared" si="9"/>
        <v>0</v>
      </c>
      <c r="L191">
        <f t="shared" si="10"/>
        <v>0</v>
      </c>
      <c r="M191">
        <f t="shared" si="11"/>
        <v>0</v>
      </c>
      <c r="N191" s="4"/>
    </row>
    <row r="192" spans="1:14">
      <c r="A192" t="s">
        <v>411</v>
      </c>
      <c r="B192">
        <v>0</v>
      </c>
      <c r="C192">
        <v>0</v>
      </c>
      <c r="D192">
        <v>0</v>
      </c>
      <c r="E192">
        <v>0</v>
      </c>
      <c r="F192" s="4"/>
      <c r="I192" s="1" t="s">
        <v>189</v>
      </c>
      <c r="J192">
        <f t="shared" si="8"/>
        <v>0</v>
      </c>
      <c r="K192">
        <f t="shared" si="9"/>
        <v>0</v>
      </c>
      <c r="L192">
        <f t="shared" si="10"/>
        <v>0</v>
      </c>
      <c r="M192">
        <f t="shared" si="11"/>
        <v>0</v>
      </c>
      <c r="N192" s="4"/>
    </row>
    <row r="193" spans="1:14">
      <c r="A193" t="s">
        <v>412</v>
      </c>
      <c r="B193">
        <v>0</v>
      </c>
      <c r="C193">
        <v>0</v>
      </c>
      <c r="D193">
        <v>0</v>
      </c>
      <c r="E193">
        <v>0</v>
      </c>
      <c r="F193" s="4"/>
      <c r="I193" s="1" t="s">
        <v>190</v>
      </c>
      <c r="J193">
        <f t="shared" si="8"/>
        <v>4</v>
      </c>
      <c r="K193">
        <f t="shared" si="9"/>
        <v>39</v>
      </c>
      <c r="L193">
        <f t="shared" si="10"/>
        <v>0</v>
      </c>
      <c r="M193">
        <f t="shared" si="11"/>
        <v>29</v>
      </c>
      <c r="N193" s="4">
        <v>14</v>
      </c>
    </row>
    <row r="194" spans="1:14">
      <c r="A194" t="s">
        <v>413</v>
      </c>
      <c r="B194">
        <v>0</v>
      </c>
      <c r="C194">
        <v>0</v>
      </c>
      <c r="D194">
        <v>0</v>
      </c>
      <c r="E194">
        <v>0</v>
      </c>
      <c r="F194" s="4"/>
      <c r="I194" s="1" t="s">
        <v>191</v>
      </c>
      <c r="J194">
        <f t="shared" si="8"/>
        <v>18</v>
      </c>
      <c r="K194">
        <f t="shared" si="9"/>
        <v>28</v>
      </c>
      <c r="L194">
        <f t="shared" si="10"/>
        <v>0</v>
      </c>
      <c r="M194">
        <f t="shared" si="11"/>
        <v>34</v>
      </c>
      <c r="N194" s="4">
        <v>11</v>
      </c>
    </row>
    <row r="195" spans="1:14">
      <c r="A195" t="s">
        <v>414</v>
      </c>
      <c r="B195">
        <v>0</v>
      </c>
      <c r="C195">
        <v>0</v>
      </c>
      <c r="D195">
        <v>0</v>
      </c>
      <c r="E195">
        <v>0</v>
      </c>
      <c r="F195" s="4"/>
      <c r="I195" s="1" t="s">
        <v>192</v>
      </c>
      <c r="J195">
        <f t="shared" si="8"/>
        <v>2</v>
      </c>
      <c r="K195">
        <f t="shared" si="9"/>
        <v>0</v>
      </c>
      <c r="L195">
        <f t="shared" si="10"/>
        <v>2</v>
      </c>
      <c r="M195">
        <f t="shared" si="11"/>
        <v>0</v>
      </c>
      <c r="N195" s="4"/>
    </row>
    <row r="196" spans="1:14">
      <c r="A196" t="s">
        <v>415</v>
      </c>
      <c r="B196">
        <v>0</v>
      </c>
      <c r="C196">
        <v>0</v>
      </c>
      <c r="D196">
        <v>0</v>
      </c>
      <c r="E196">
        <v>0</v>
      </c>
      <c r="F196" s="4"/>
      <c r="I196" s="1" t="s">
        <v>193</v>
      </c>
      <c r="J196">
        <f t="shared" si="8"/>
        <v>4</v>
      </c>
      <c r="K196">
        <f t="shared" si="9"/>
        <v>18</v>
      </c>
      <c r="L196">
        <f t="shared" si="10"/>
        <v>0</v>
      </c>
      <c r="M196">
        <f t="shared" si="11"/>
        <v>17</v>
      </c>
      <c r="N196" s="4">
        <v>6</v>
      </c>
    </row>
    <row r="197" spans="1:14">
      <c r="A197" t="s">
        <v>416</v>
      </c>
      <c r="B197">
        <v>0</v>
      </c>
      <c r="C197">
        <v>0</v>
      </c>
      <c r="D197">
        <v>0</v>
      </c>
      <c r="E197">
        <v>0</v>
      </c>
      <c r="F197" s="4"/>
      <c r="I197" s="1" t="s">
        <v>194</v>
      </c>
      <c r="J197">
        <f t="shared" ref="J197:J260" si="12">IFERROR(VLOOKUP(I197,A$2:B$357,2,FALSE),0)</f>
        <v>8</v>
      </c>
      <c r="K197">
        <f t="shared" ref="K197:K260" si="13">IFERROR(VLOOKUP(I197,A$2:C$357,3,FALSE),0)</f>
        <v>0</v>
      </c>
      <c r="L197">
        <f t="shared" ref="L197:L260" si="14">IFERROR(VLOOKUP(I197,A$2:D$357,4,FALSE),0)</f>
        <v>0</v>
      </c>
      <c r="M197">
        <f t="shared" ref="M197:M260" si="15">IFERROR(VLOOKUP(I197,A$2:E$357,5,FALSE),0)</f>
        <v>7</v>
      </c>
      <c r="N197" s="4"/>
    </row>
    <row r="198" spans="1:14">
      <c r="A198" t="s">
        <v>417</v>
      </c>
      <c r="B198">
        <v>0</v>
      </c>
      <c r="C198">
        <v>0</v>
      </c>
      <c r="D198">
        <v>0</v>
      </c>
      <c r="E198">
        <v>0</v>
      </c>
      <c r="F198" s="4"/>
      <c r="I198" s="1" t="s">
        <v>195</v>
      </c>
      <c r="J198">
        <f t="shared" si="12"/>
        <v>3</v>
      </c>
      <c r="K198">
        <f t="shared" si="13"/>
        <v>5</v>
      </c>
      <c r="L198">
        <f t="shared" si="14"/>
        <v>0</v>
      </c>
      <c r="M198">
        <f t="shared" si="15"/>
        <v>4</v>
      </c>
      <c r="N198" s="4">
        <v>6</v>
      </c>
    </row>
    <row r="199" spans="1:14">
      <c r="A199" t="s">
        <v>418</v>
      </c>
      <c r="B199">
        <v>0</v>
      </c>
      <c r="C199">
        <v>0</v>
      </c>
      <c r="D199">
        <v>0</v>
      </c>
      <c r="E199">
        <v>0</v>
      </c>
      <c r="F199" s="4"/>
      <c r="I199" s="1" t="s">
        <v>196</v>
      </c>
      <c r="J199">
        <f t="shared" si="12"/>
        <v>1</v>
      </c>
      <c r="K199">
        <f t="shared" si="13"/>
        <v>8</v>
      </c>
      <c r="L199">
        <f t="shared" si="14"/>
        <v>0</v>
      </c>
      <c r="M199">
        <f t="shared" si="15"/>
        <v>2</v>
      </c>
      <c r="N199" s="4">
        <v>6</v>
      </c>
    </row>
    <row r="200" spans="1:14">
      <c r="A200" t="s">
        <v>419</v>
      </c>
      <c r="B200">
        <v>0</v>
      </c>
      <c r="C200">
        <v>0</v>
      </c>
      <c r="D200">
        <v>0</v>
      </c>
      <c r="E200">
        <v>0</v>
      </c>
      <c r="F200" s="4"/>
      <c r="I200" s="1" t="s">
        <v>197</v>
      </c>
      <c r="J200">
        <f t="shared" si="12"/>
        <v>0</v>
      </c>
      <c r="K200">
        <f t="shared" si="13"/>
        <v>0</v>
      </c>
      <c r="L200">
        <f t="shared" si="14"/>
        <v>0</v>
      </c>
      <c r="M200">
        <f t="shared" si="15"/>
        <v>0</v>
      </c>
      <c r="N200" s="4"/>
    </row>
    <row r="201" spans="1:14">
      <c r="A201" t="s">
        <v>420</v>
      </c>
      <c r="B201">
        <v>0</v>
      </c>
      <c r="C201">
        <v>0</v>
      </c>
      <c r="D201">
        <v>0</v>
      </c>
      <c r="E201">
        <v>0</v>
      </c>
      <c r="F201" s="4"/>
      <c r="I201" s="1" t="s">
        <v>198</v>
      </c>
      <c r="J201">
        <f t="shared" si="12"/>
        <v>0</v>
      </c>
      <c r="K201">
        <f t="shared" si="13"/>
        <v>6</v>
      </c>
      <c r="L201">
        <f t="shared" si="14"/>
        <v>0</v>
      </c>
      <c r="M201">
        <f t="shared" si="15"/>
        <v>4</v>
      </c>
      <c r="N201" s="4">
        <v>2</v>
      </c>
    </row>
    <row r="202" spans="1:14">
      <c r="A202" t="s">
        <v>421</v>
      </c>
      <c r="B202">
        <v>0</v>
      </c>
      <c r="C202">
        <v>0</v>
      </c>
      <c r="D202">
        <v>0</v>
      </c>
      <c r="E202">
        <v>0</v>
      </c>
      <c r="F202" s="4"/>
      <c r="I202" s="1" t="s">
        <v>199</v>
      </c>
      <c r="J202">
        <f t="shared" si="12"/>
        <v>0</v>
      </c>
      <c r="K202">
        <f t="shared" si="13"/>
        <v>6</v>
      </c>
      <c r="L202">
        <f t="shared" si="14"/>
        <v>0</v>
      </c>
      <c r="M202">
        <f t="shared" si="15"/>
        <v>0</v>
      </c>
      <c r="N202" s="4">
        <v>6</v>
      </c>
    </row>
    <row r="203" spans="1:14">
      <c r="A203" t="s">
        <v>422</v>
      </c>
      <c r="B203">
        <v>0</v>
      </c>
      <c r="C203">
        <v>0</v>
      </c>
      <c r="D203">
        <v>0</v>
      </c>
      <c r="E203">
        <v>0</v>
      </c>
      <c r="F203" s="4"/>
      <c r="I203" s="1" t="s">
        <v>200</v>
      </c>
      <c r="J203">
        <f t="shared" si="12"/>
        <v>0</v>
      </c>
      <c r="K203">
        <f t="shared" si="13"/>
        <v>0</v>
      </c>
      <c r="L203">
        <f t="shared" si="14"/>
        <v>0</v>
      </c>
      <c r="M203">
        <f t="shared" si="15"/>
        <v>0</v>
      </c>
      <c r="N203" s="4"/>
    </row>
    <row r="204" spans="1:14">
      <c r="A204" t="s">
        <v>423</v>
      </c>
      <c r="B204">
        <v>0</v>
      </c>
      <c r="C204">
        <v>0</v>
      </c>
      <c r="D204">
        <v>0</v>
      </c>
      <c r="E204">
        <v>0</v>
      </c>
      <c r="F204" s="4"/>
      <c r="I204" s="1" t="s">
        <v>201</v>
      </c>
      <c r="J204">
        <f t="shared" si="12"/>
        <v>0</v>
      </c>
      <c r="K204">
        <f t="shared" si="13"/>
        <v>0</v>
      </c>
      <c r="L204">
        <f t="shared" si="14"/>
        <v>0</v>
      </c>
      <c r="M204">
        <f t="shared" si="15"/>
        <v>0</v>
      </c>
      <c r="N204" s="4"/>
    </row>
    <row r="205" spans="1:14">
      <c r="A205" t="s">
        <v>424</v>
      </c>
      <c r="B205">
        <v>0</v>
      </c>
      <c r="C205">
        <v>0</v>
      </c>
      <c r="D205">
        <v>0</v>
      </c>
      <c r="E205">
        <v>0</v>
      </c>
      <c r="F205" s="4"/>
      <c r="I205" s="1" t="s">
        <v>202</v>
      </c>
      <c r="J205">
        <f t="shared" si="12"/>
        <v>0</v>
      </c>
      <c r="K205">
        <f t="shared" si="13"/>
        <v>0</v>
      </c>
      <c r="L205">
        <f t="shared" si="14"/>
        <v>0</v>
      </c>
      <c r="M205">
        <f t="shared" si="15"/>
        <v>0</v>
      </c>
      <c r="N205" s="4"/>
    </row>
    <row r="206" spans="1:14">
      <c r="A206" t="s">
        <v>425</v>
      </c>
      <c r="B206">
        <v>0</v>
      </c>
      <c r="C206">
        <v>0</v>
      </c>
      <c r="D206">
        <v>0</v>
      </c>
      <c r="E206">
        <v>0</v>
      </c>
      <c r="F206" s="4"/>
      <c r="I206" s="1" t="s">
        <v>203</v>
      </c>
      <c r="J206">
        <f t="shared" si="12"/>
        <v>3</v>
      </c>
      <c r="K206">
        <f t="shared" si="13"/>
        <v>18</v>
      </c>
      <c r="L206">
        <f t="shared" si="14"/>
        <v>0</v>
      </c>
      <c r="M206">
        <f t="shared" si="15"/>
        <v>19</v>
      </c>
      <c r="N206" s="4">
        <v>1</v>
      </c>
    </row>
    <row r="207" spans="1:14">
      <c r="A207" t="s">
        <v>426</v>
      </c>
      <c r="B207">
        <v>0</v>
      </c>
      <c r="C207">
        <v>0</v>
      </c>
      <c r="D207">
        <v>0</v>
      </c>
      <c r="E207">
        <v>0</v>
      </c>
      <c r="F207" s="4"/>
      <c r="I207" s="1" t="s">
        <v>204</v>
      </c>
      <c r="J207">
        <f t="shared" si="12"/>
        <v>0</v>
      </c>
      <c r="K207">
        <f t="shared" si="13"/>
        <v>0</v>
      </c>
      <c r="L207">
        <f t="shared" si="14"/>
        <v>0</v>
      </c>
      <c r="M207">
        <f t="shared" si="15"/>
        <v>0</v>
      </c>
      <c r="N207" s="4"/>
    </row>
    <row r="208" spans="1:14">
      <c r="A208" t="s">
        <v>288</v>
      </c>
      <c r="B208">
        <v>0</v>
      </c>
      <c r="C208">
        <v>0</v>
      </c>
      <c r="D208">
        <v>0</v>
      </c>
      <c r="E208">
        <v>0</v>
      </c>
      <c r="F208" s="4"/>
      <c r="I208" s="1" t="s">
        <v>205</v>
      </c>
      <c r="J208">
        <f t="shared" si="12"/>
        <v>0</v>
      </c>
      <c r="K208">
        <f t="shared" si="13"/>
        <v>12</v>
      </c>
      <c r="L208">
        <f t="shared" si="14"/>
        <v>0</v>
      </c>
      <c r="M208">
        <f t="shared" si="15"/>
        <v>13</v>
      </c>
      <c r="N208" s="4"/>
    </row>
    <row r="209" spans="1:14">
      <c r="A209" t="s">
        <v>427</v>
      </c>
      <c r="B209">
        <v>0</v>
      </c>
      <c r="C209">
        <v>0</v>
      </c>
      <c r="D209">
        <v>0</v>
      </c>
      <c r="E209">
        <v>0</v>
      </c>
      <c r="F209" s="4"/>
      <c r="I209" s="1" t="s">
        <v>206</v>
      </c>
      <c r="J209">
        <f t="shared" si="12"/>
        <v>3</v>
      </c>
      <c r="K209">
        <f t="shared" si="13"/>
        <v>10</v>
      </c>
      <c r="L209">
        <f t="shared" si="14"/>
        <v>0</v>
      </c>
      <c r="M209">
        <f t="shared" si="15"/>
        <v>7</v>
      </c>
      <c r="N209" s="4">
        <v>5</v>
      </c>
    </row>
    <row r="210" spans="1:14">
      <c r="A210" t="s">
        <v>428</v>
      </c>
      <c r="B210">
        <v>0</v>
      </c>
      <c r="C210">
        <v>0</v>
      </c>
      <c r="D210">
        <v>0</v>
      </c>
      <c r="E210">
        <v>0</v>
      </c>
      <c r="F210" s="4"/>
      <c r="I210" s="1" t="s">
        <v>207</v>
      </c>
      <c r="J210">
        <f t="shared" si="12"/>
        <v>5</v>
      </c>
      <c r="K210">
        <f t="shared" si="13"/>
        <v>5</v>
      </c>
      <c r="L210">
        <f t="shared" si="14"/>
        <v>0</v>
      </c>
      <c r="M210">
        <f t="shared" si="15"/>
        <v>3</v>
      </c>
      <c r="N210" s="4">
        <v>6</v>
      </c>
    </row>
    <row r="211" spans="1:14">
      <c r="A211" t="s">
        <v>429</v>
      </c>
      <c r="B211">
        <v>0</v>
      </c>
      <c r="C211">
        <v>0</v>
      </c>
      <c r="D211">
        <v>0</v>
      </c>
      <c r="E211">
        <v>0</v>
      </c>
      <c r="F211" s="4"/>
      <c r="I211" s="1" t="s">
        <v>208</v>
      </c>
      <c r="J211">
        <f t="shared" si="12"/>
        <v>0</v>
      </c>
      <c r="K211">
        <f t="shared" si="13"/>
        <v>0</v>
      </c>
      <c r="L211">
        <f t="shared" si="14"/>
        <v>0</v>
      </c>
      <c r="M211">
        <f t="shared" si="15"/>
        <v>0</v>
      </c>
      <c r="N211" s="4"/>
    </row>
    <row r="212" spans="1:14">
      <c r="A212" t="s">
        <v>430</v>
      </c>
      <c r="B212">
        <v>0</v>
      </c>
      <c r="C212">
        <v>0</v>
      </c>
      <c r="D212">
        <v>0</v>
      </c>
      <c r="E212">
        <v>0</v>
      </c>
      <c r="F212" s="4"/>
      <c r="I212" s="1" t="s">
        <v>209</v>
      </c>
      <c r="J212">
        <f t="shared" si="12"/>
        <v>10</v>
      </c>
      <c r="K212">
        <f t="shared" si="13"/>
        <v>20</v>
      </c>
      <c r="L212">
        <f t="shared" si="14"/>
        <v>0</v>
      </c>
      <c r="M212">
        <f t="shared" si="15"/>
        <v>11</v>
      </c>
      <c r="N212" s="4">
        <v>19</v>
      </c>
    </row>
    <row r="213" spans="1:14">
      <c r="A213" t="s">
        <v>431</v>
      </c>
      <c r="B213">
        <v>0</v>
      </c>
      <c r="C213">
        <v>0</v>
      </c>
      <c r="D213">
        <v>0</v>
      </c>
      <c r="E213">
        <v>0</v>
      </c>
      <c r="F213" s="4"/>
      <c r="I213" s="1" t="s">
        <v>210</v>
      </c>
      <c r="J213">
        <f t="shared" si="12"/>
        <v>11</v>
      </c>
      <c r="K213">
        <f t="shared" si="13"/>
        <v>20</v>
      </c>
      <c r="L213">
        <f t="shared" si="14"/>
        <v>0</v>
      </c>
      <c r="M213">
        <f t="shared" si="15"/>
        <v>7</v>
      </c>
      <c r="N213" s="4">
        <v>24</v>
      </c>
    </row>
    <row r="214" spans="1:14">
      <c r="A214" t="s">
        <v>432</v>
      </c>
      <c r="B214">
        <v>0</v>
      </c>
      <c r="C214">
        <v>0</v>
      </c>
      <c r="D214">
        <v>0</v>
      </c>
      <c r="E214">
        <v>0</v>
      </c>
      <c r="F214" s="4"/>
      <c r="I214" s="1" t="s">
        <v>211</v>
      </c>
      <c r="J214">
        <f t="shared" si="12"/>
        <v>29</v>
      </c>
      <c r="K214">
        <f t="shared" si="13"/>
        <v>40</v>
      </c>
      <c r="L214">
        <f t="shared" si="14"/>
        <v>0</v>
      </c>
      <c r="M214">
        <f t="shared" si="15"/>
        <v>55</v>
      </c>
      <c r="N214" s="4">
        <v>12</v>
      </c>
    </row>
    <row r="215" spans="1:14">
      <c r="A215" t="s">
        <v>433</v>
      </c>
      <c r="B215">
        <v>0</v>
      </c>
      <c r="C215">
        <v>0</v>
      </c>
      <c r="D215">
        <v>0</v>
      </c>
      <c r="E215">
        <v>0</v>
      </c>
      <c r="F215" s="4"/>
      <c r="I215" s="1" t="s">
        <v>212</v>
      </c>
      <c r="J215">
        <f t="shared" si="12"/>
        <v>37</v>
      </c>
      <c r="K215">
        <f t="shared" si="13"/>
        <v>40</v>
      </c>
      <c r="L215">
        <f t="shared" si="14"/>
        <v>0</v>
      </c>
      <c r="M215">
        <f t="shared" si="15"/>
        <v>50</v>
      </c>
      <c r="N215" s="4">
        <v>27</v>
      </c>
    </row>
    <row r="216" spans="1:14">
      <c r="A216" t="s">
        <v>434</v>
      </c>
      <c r="B216">
        <v>0</v>
      </c>
      <c r="C216">
        <v>0</v>
      </c>
      <c r="D216">
        <v>0</v>
      </c>
      <c r="E216">
        <v>0</v>
      </c>
      <c r="F216" s="4"/>
      <c r="I216" s="1" t="s">
        <v>213</v>
      </c>
      <c r="J216">
        <f t="shared" si="12"/>
        <v>0</v>
      </c>
      <c r="K216">
        <f t="shared" si="13"/>
        <v>0</v>
      </c>
      <c r="L216">
        <f t="shared" si="14"/>
        <v>0</v>
      </c>
      <c r="M216">
        <f t="shared" si="15"/>
        <v>0</v>
      </c>
      <c r="N216" s="4"/>
    </row>
    <row r="217" spans="1:14">
      <c r="A217" t="s">
        <v>435</v>
      </c>
      <c r="B217">
        <v>0</v>
      </c>
      <c r="C217">
        <v>0</v>
      </c>
      <c r="D217">
        <v>0</v>
      </c>
      <c r="E217">
        <v>0</v>
      </c>
      <c r="F217" s="4"/>
      <c r="I217" s="1" t="s">
        <v>214</v>
      </c>
      <c r="J217">
        <f t="shared" si="12"/>
        <v>23</v>
      </c>
      <c r="K217">
        <f t="shared" si="13"/>
        <v>0</v>
      </c>
      <c r="L217">
        <f t="shared" si="14"/>
        <v>0</v>
      </c>
      <c r="M217">
        <f t="shared" si="15"/>
        <v>19</v>
      </c>
      <c r="N217" s="4">
        <v>4</v>
      </c>
    </row>
    <row r="218" spans="1:14">
      <c r="A218" t="s">
        <v>436</v>
      </c>
      <c r="B218">
        <v>0</v>
      </c>
      <c r="C218">
        <v>0</v>
      </c>
      <c r="D218">
        <v>0</v>
      </c>
      <c r="E218">
        <v>0</v>
      </c>
      <c r="F218" s="4"/>
      <c r="I218" s="1" t="s">
        <v>215</v>
      </c>
      <c r="J218">
        <f t="shared" si="12"/>
        <v>6</v>
      </c>
      <c r="K218">
        <f t="shared" si="13"/>
        <v>22</v>
      </c>
      <c r="L218">
        <f t="shared" si="14"/>
        <v>0</v>
      </c>
      <c r="M218">
        <f t="shared" si="15"/>
        <v>21</v>
      </c>
      <c r="N218" s="4">
        <v>7</v>
      </c>
    </row>
    <row r="219" spans="1:14">
      <c r="A219" t="s">
        <v>437</v>
      </c>
      <c r="B219">
        <v>0</v>
      </c>
      <c r="C219">
        <v>0</v>
      </c>
      <c r="D219">
        <v>0</v>
      </c>
      <c r="E219">
        <v>0</v>
      </c>
      <c r="F219" s="4"/>
      <c r="I219" s="1" t="s">
        <v>216</v>
      </c>
      <c r="J219">
        <f t="shared" si="12"/>
        <v>9</v>
      </c>
      <c r="K219">
        <f t="shared" si="13"/>
        <v>18</v>
      </c>
      <c r="L219">
        <f t="shared" si="14"/>
        <v>0</v>
      </c>
      <c r="M219">
        <f t="shared" si="15"/>
        <v>26</v>
      </c>
      <c r="N219" s="4">
        <v>1</v>
      </c>
    </row>
    <row r="220" spans="1:14">
      <c r="A220" t="s">
        <v>438</v>
      </c>
      <c r="B220">
        <v>0</v>
      </c>
      <c r="C220">
        <v>0</v>
      </c>
      <c r="D220">
        <v>0</v>
      </c>
      <c r="E220">
        <v>0</v>
      </c>
      <c r="F220" s="4"/>
      <c r="I220" s="1" t="s">
        <v>217</v>
      </c>
      <c r="J220">
        <f t="shared" si="12"/>
        <v>1</v>
      </c>
      <c r="K220">
        <f t="shared" si="13"/>
        <v>9</v>
      </c>
      <c r="L220">
        <f t="shared" si="14"/>
        <v>0</v>
      </c>
      <c r="M220">
        <f t="shared" si="15"/>
        <v>10</v>
      </c>
      <c r="N220" s="4"/>
    </row>
    <row r="221" spans="1:14">
      <c r="A221" t="s">
        <v>439</v>
      </c>
      <c r="B221">
        <v>0</v>
      </c>
      <c r="C221">
        <v>0</v>
      </c>
      <c r="D221">
        <v>0</v>
      </c>
      <c r="E221">
        <v>0</v>
      </c>
      <c r="F221" s="4"/>
      <c r="I221" s="1" t="s">
        <v>217</v>
      </c>
      <c r="J221">
        <f t="shared" si="12"/>
        <v>1</v>
      </c>
      <c r="K221">
        <f t="shared" si="13"/>
        <v>9</v>
      </c>
      <c r="L221">
        <f t="shared" si="14"/>
        <v>0</v>
      </c>
      <c r="M221">
        <f t="shared" si="15"/>
        <v>10</v>
      </c>
      <c r="N221" s="4"/>
    </row>
    <row r="222" spans="1:14">
      <c r="A222" t="s">
        <v>440</v>
      </c>
      <c r="B222">
        <v>0</v>
      </c>
      <c r="C222">
        <v>0</v>
      </c>
      <c r="D222">
        <v>0</v>
      </c>
      <c r="E222">
        <v>0</v>
      </c>
      <c r="F222" s="4"/>
      <c r="I222" s="1" t="s">
        <v>218</v>
      </c>
      <c r="J222">
        <f t="shared" si="12"/>
        <v>0</v>
      </c>
      <c r="K222">
        <f t="shared" si="13"/>
        <v>0</v>
      </c>
      <c r="L222">
        <f t="shared" si="14"/>
        <v>0</v>
      </c>
      <c r="M222">
        <f t="shared" si="15"/>
        <v>0</v>
      </c>
      <c r="N222" s="4">
        <v>20</v>
      </c>
    </row>
    <row r="223" spans="1:14">
      <c r="A223" t="s">
        <v>441</v>
      </c>
      <c r="B223">
        <v>0</v>
      </c>
      <c r="C223">
        <v>0</v>
      </c>
      <c r="D223">
        <v>0</v>
      </c>
      <c r="E223">
        <v>0</v>
      </c>
      <c r="F223" s="4"/>
      <c r="I223" s="1" t="s">
        <v>219</v>
      </c>
      <c r="J223">
        <f t="shared" si="12"/>
        <v>0</v>
      </c>
      <c r="K223">
        <f t="shared" si="13"/>
        <v>0</v>
      </c>
      <c r="L223">
        <f t="shared" si="14"/>
        <v>0</v>
      </c>
      <c r="M223">
        <f t="shared" si="15"/>
        <v>0</v>
      </c>
      <c r="N223" s="4">
        <v>26</v>
      </c>
    </row>
    <row r="224" spans="1:14">
      <c r="A224" t="s">
        <v>442</v>
      </c>
      <c r="B224">
        <v>0</v>
      </c>
      <c r="C224">
        <v>0</v>
      </c>
      <c r="D224">
        <v>0</v>
      </c>
      <c r="E224">
        <v>0</v>
      </c>
      <c r="F224" s="4"/>
      <c r="I224" s="1" t="s">
        <v>220</v>
      </c>
      <c r="J224">
        <f t="shared" si="12"/>
        <v>0</v>
      </c>
      <c r="K224">
        <f t="shared" si="13"/>
        <v>0</v>
      </c>
      <c r="L224">
        <f t="shared" si="14"/>
        <v>0</v>
      </c>
      <c r="M224">
        <f t="shared" si="15"/>
        <v>0</v>
      </c>
      <c r="N224" s="4">
        <v>17</v>
      </c>
    </row>
    <row r="225" spans="1:14">
      <c r="A225" t="s">
        <v>443</v>
      </c>
      <c r="B225">
        <v>0</v>
      </c>
      <c r="C225">
        <v>0</v>
      </c>
      <c r="D225">
        <v>0</v>
      </c>
      <c r="E225">
        <v>0</v>
      </c>
      <c r="F225" s="4"/>
      <c r="I225" s="1" t="s">
        <v>221</v>
      </c>
      <c r="J225">
        <f t="shared" si="12"/>
        <v>0</v>
      </c>
      <c r="K225">
        <f t="shared" si="13"/>
        <v>0</v>
      </c>
      <c r="L225">
        <f t="shared" si="14"/>
        <v>0</v>
      </c>
      <c r="M225">
        <f t="shared" si="15"/>
        <v>0</v>
      </c>
      <c r="N225" s="4">
        <v>8</v>
      </c>
    </row>
    <row r="226" spans="1:14">
      <c r="A226" t="s">
        <v>444</v>
      </c>
      <c r="B226">
        <v>0</v>
      </c>
      <c r="C226">
        <v>0</v>
      </c>
      <c r="D226">
        <v>0</v>
      </c>
      <c r="E226">
        <v>0</v>
      </c>
      <c r="F226" s="4"/>
      <c r="I226" s="1" t="s">
        <v>222</v>
      </c>
      <c r="J226">
        <f t="shared" si="12"/>
        <v>0</v>
      </c>
      <c r="K226">
        <f t="shared" si="13"/>
        <v>0</v>
      </c>
      <c r="L226">
        <f t="shared" si="14"/>
        <v>0</v>
      </c>
      <c r="M226">
        <f t="shared" si="15"/>
        <v>0</v>
      </c>
      <c r="N226" s="4">
        <v>6</v>
      </c>
    </row>
    <row r="227" spans="1:14">
      <c r="A227" t="s">
        <v>445</v>
      </c>
      <c r="B227">
        <v>0</v>
      </c>
      <c r="C227">
        <v>0</v>
      </c>
      <c r="D227">
        <v>0</v>
      </c>
      <c r="E227">
        <v>0</v>
      </c>
      <c r="F227" s="4"/>
      <c r="I227" s="5" t="s">
        <v>223</v>
      </c>
      <c r="J227">
        <f t="shared" si="12"/>
        <v>0</v>
      </c>
      <c r="K227">
        <f t="shared" si="13"/>
        <v>0</v>
      </c>
      <c r="L227">
        <f t="shared" si="14"/>
        <v>0</v>
      </c>
      <c r="M227">
        <f t="shared" si="15"/>
        <v>0</v>
      </c>
      <c r="N227" s="4">
        <v>8</v>
      </c>
    </row>
    <row r="228" spans="1:14">
      <c r="A228" t="s">
        <v>446</v>
      </c>
      <c r="B228">
        <v>0</v>
      </c>
      <c r="C228">
        <v>0</v>
      </c>
      <c r="D228">
        <v>0</v>
      </c>
      <c r="E228">
        <v>0</v>
      </c>
      <c r="F228" s="4"/>
      <c r="I228" s="1" t="s">
        <v>224</v>
      </c>
      <c r="J228">
        <f t="shared" si="12"/>
        <v>0</v>
      </c>
      <c r="K228">
        <f t="shared" si="13"/>
        <v>0</v>
      </c>
      <c r="L228">
        <f t="shared" si="14"/>
        <v>0</v>
      </c>
      <c r="M228">
        <f t="shared" si="15"/>
        <v>0</v>
      </c>
      <c r="N228" s="4"/>
    </row>
    <row r="229" spans="1:14">
      <c r="A229" t="s">
        <v>447</v>
      </c>
      <c r="B229">
        <v>0</v>
      </c>
      <c r="C229">
        <v>0</v>
      </c>
      <c r="D229">
        <v>0</v>
      </c>
      <c r="E229">
        <v>0</v>
      </c>
      <c r="F229" s="4"/>
      <c r="I229" s="6" t="s">
        <v>225</v>
      </c>
      <c r="J229">
        <f t="shared" si="12"/>
        <v>0</v>
      </c>
      <c r="K229">
        <f t="shared" si="13"/>
        <v>0</v>
      </c>
      <c r="L229">
        <f t="shared" si="14"/>
        <v>0</v>
      </c>
      <c r="M229">
        <f t="shared" si="15"/>
        <v>0</v>
      </c>
      <c r="N229" s="4"/>
    </row>
    <row r="230" spans="1:14">
      <c r="A230" t="s">
        <v>448</v>
      </c>
      <c r="B230">
        <v>0</v>
      </c>
      <c r="C230">
        <v>0</v>
      </c>
      <c r="D230">
        <v>0</v>
      </c>
      <c r="E230">
        <v>0</v>
      </c>
      <c r="F230" s="4"/>
      <c r="I230" s="6" t="s">
        <v>226</v>
      </c>
      <c r="J230">
        <f t="shared" si="12"/>
        <v>0</v>
      </c>
      <c r="K230">
        <f t="shared" si="13"/>
        <v>0</v>
      </c>
      <c r="L230">
        <f t="shared" si="14"/>
        <v>0</v>
      </c>
      <c r="M230">
        <f t="shared" si="15"/>
        <v>0</v>
      </c>
      <c r="N230" s="4"/>
    </row>
    <row r="231" spans="1:14">
      <c r="A231" t="s">
        <v>449</v>
      </c>
      <c r="B231">
        <v>0</v>
      </c>
      <c r="C231">
        <v>0</v>
      </c>
      <c r="D231">
        <v>0</v>
      </c>
      <c r="E231">
        <v>0</v>
      </c>
      <c r="F231" s="4"/>
      <c r="I231" s="6" t="s">
        <v>227</v>
      </c>
      <c r="J231">
        <f t="shared" si="12"/>
        <v>0</v>
      </c>
      <c r="K231">
        <f t="shared" si="13"/>
        <v>0</v>
      </c>
      <c r="L231">
        <f t="shared" si="14"/>
        <v>0</v>
      </c>
      <c r="M231">
        <f t="shared" si="15"/>
        <v>0</v>
      </c>
      <c r="N231" s="4"/>
    </row>
    <row r="232" spans="1:14">
      <c r="A232" t="s">
        <v>450</v>
      </c>
      <c r="B232">
        <v>0</v>
      </c>
      <c r="C232">
        <v>0</v>
      </c>
      <c r="D232">
        <v>0</v>
      </c>
      <c r="E232">
        <v>0</v>
      </c>
      <c r="F232" s="4"/>
      <c r="I232" s="6" t="s">
        <v>228</v>
      </c>
      <c r="J232">
        <f t="shared" si="12"/>
        <v>0</v>
      </c>
      <c r="K232">
        <f t="shared" si="13"/>
        <v>0</v>
      </c>
      <c r="L232">
        <f t="shared" si="14"/>
        <v>0</v>
      </c>
      <c r="M232">
        <f t="shared" si="15"/>
        <v>0</v>
      </c>
      <c r="N232" s="4"/>
    </row>
    <row r="233" spans="1:14">
      <c r="A233" t="s">
        <v>451</v>
      </c>
      <c r="B233">
        <v>0</v>
      </c>
      <c r="C233">
        <v>0</v>
      </c>
      <c r="D233">
        <v>0</v>
      </c>
      <c r="E233">
        <v>0</v>
      </c>
      <c r="F233" s="4"/>
      <c r="I233" s="6" t="s">
        <v>229</v>
      </c>
      <c r="J233">
        <f t="shared" si="12"/>
        <v>0</v>
      </c>
      <c r="K233">
        <f t="shared" si="13"/>
        <v>0</v>
      </c>
      <c r="L233">
        <f t="shared" si="14"/>
        <v>0</v>
      </c>
      <c r="M233">
        <f t="shared" si="15"/>
        <v>0</v>
      </c>
      <c r="N233" s="4"/>
    </row>
    <row r="234" spans="1:14">
      <c r="A234" t="s">
        <v>452</v>
      </c>
      <c r="B234">
        <v>0</v>
      </c>
      <c r="C234">
        <v>0</v>
      </c>
      <c r="D234">
        <v>0</v>
      </c>
      <c r="E234">
        <v>0</v>
      </c>
      <c r="F234" s="4"/>
      <c r="I234" s="6" t="s">
        <v>230</v>
      </c>
      <c r="J234">
        <f t="shared" si="12"/>
        <v>0</v>
      </c>
      <c r="K234">
        <f t="shared" si="13"/>
        <v>0</v>
      </c>
      <c r="L234">
        <f t="shared" si="14"/>
        <v>0</v>
      </c>
      <c r="M234">
        <f t="shared" si="15"/>
        <v>0</v>
      </c>
      <c r="N234" s="4"/>
    </row>
    <row r="235" spans="1:14">
      <c r="A235" t="s">
        <v>257</v>
      </c>
      <c r="B235">
        <v>3</v>
      </c>
      <c r="C235">
        <v>4</v>
      </c>
      <c r="D235">
        <v>0</v>
      </c>
      <c r="E235">
        <v>7</v>
      </c>
      <c r="F235" s="4"/>
      <c r="I235" s="6" t="s">
        <v>231</v>
      </c>
      <c r="J235">
        <f t="shared" si="12"/>
        <v>0</v>
      </c>
      <c r="K235">
        <f t="shared" si="13"/>
        <v>0</v>
      </c>
      <c r="L235">
        <f t="shared" si="14"/>
        <v>0</v>
      </c>
      <c r="M235">
        <f t="shared" si="15"/>
        <v>0</v>
      </c>
      <c r="N235" s="4"/>
    </row>
    <row r="236" spans="1:14">
      <c r="A236" t="s">
        <v>453</v>
      </c>
      <c r="B236">
        <v>0</v>
      </c>
      <c r="C236">
        <v>0</v>
      </c>
      <c r="D236">
        <v>0</v>
      </c>
      <c r="E236">
        <v>0</v>
      </c>
      <c r="F236" s="4"/>
      <c r="I236" s="6" t="s">
        <v>232</v>
      </c>
      <c r="J236">
        <f t="shared" si="12"/>
        <v>0</v>
      </c>
      <c r="K236">
        <f t="shared" si="13"/>
        <v>0</v>
      </c>
      <c r="L236">
        <f t="shared" si="14"/>
        <v>0</v>
      </c>
      <c r="M236">
        <f t="shared" si="15"/>
        <v>0</v>
      </c>
      <c r="N236" s="4"/>
    </row>
    <row r="237" spans="1:14">
      <c r="A237" t="s">
        <v>260</v>
      </c>
      <c r="B237">
        <v>1</v>
      </c>
      <c r="C237">
        <v>4</v>
      </c>
      <c r="D237">
        <v>0</v>
      </c>
      <c r="E237">
        <v>4</v>
      </c>
      <c r="F237" s="4"/>
      <c r="I237" s="6" t="s">
        <v>233</v>
      </c>
      <c r="J237">
        <f t="shared" si="12"/>
        <v>0</v>
      </c>
      <c r="K237">
        <f t="shared" si="13"/>
        <v>0</v>
      </c>
      <c r="L237">
        <f t="shared" si="14"/>
        <v>0</v>
      </c>
      <c r="M237">
        <f t="shared" si="15"/>
        <v>0</v>
      </c>
      <c r="N237" s="4"/>
    </row>
    <row r="238" spans="1:14">
      <c r="A238" t="s">
        <v>454</v>
      </c>
      <c r="B238">
        <v>0</v>
      </c>
      <c r="C238">
        <v>0</v>
      </c>
      <c r="D238">
        <v>0</v>
      </c>
      <c r="E238">
        <v>0</v>
      </c>
      <c r="F238" s="4"/>
      <c r="I238" s="6" t="s">
        <v>234</v>
      </c>
      <c r="J238">
        <f t="shared" si="12"/>
        <v>0</v>
      </c>
      <c r="K238">
        <f t="shared" si="13"/>
        <v>0</v>
      </c>
      <c r="L238">
        <f t="shared" si="14"/>
        <v>0</v>
      </c>
      <c r="M238">
        <f t="shared" si="15"/>
        <v>0</v>
      </c>
      <c r="N238" s="4"/>
    </row>
    <row r="239" spans="1:14">
      <c r="A239" t="s">
        <v>268</v>
      </c>
      <c r="B239">
        <v>0</v>
      </c>
      <c r="C239">
        <v>0</v>
      </c>
      <c r="D239">
        <v>0</v>
      </c>
      <c r="E239">
        <v>0</v>
      </c>
      <c r="F239" s="4"/>
      <c r="I239" s="6" t="s">
        <v>235</v>
      </c>
      <c r="J239">
        <f t="shared" si="12"/>
        <v>0</v>
      </c>
      <c r="K239">
        <f t="shared" si="13"/>
        <v>0</v>
      </c>
      <c r="L239">
        <f t="shared" si="14"/>
        <v>0</v>
      </c>
      <c r="M239">
        <f t="shared" si="15"/>
        <v>0</v>
      </c>
      <c r="N239" s="4"/>
    </row>
    <row r="240" spans="1:14">
      <c r="A240" t="s">
        <v>455</v>
      </c>
      <c r="B240">
        <v>0</v>
      </c>
      <c r="C240">
        <v>0</v>
      </c>
      <c r="D240">
        <v>0</v>
      </c>
      <c r="E240">
        <v>0</v>
      </c>
      <c r="F240" s="4"/>
      <c r="I240" s="6" t="s">
        <v>236</v>
      </c>
      <c r="J240">
        <f t="shared" si="12"/>
        <v>0</v>
      </c>
      <c r="K240">
        <f t="shared" si="13"/>
        <v>0</v>
      </c>
      <c r="L240">
        <f t="shared" si="14"/>
        <v>0</v>
      </c>
      <c r="M240">
        <f t="shared" si="15"/>
        <v>0</v>
      </c>
      <c r="N240" s="4"/>
    </row>
    <row r="241" spans="1:14">
      <c r="A241" t="s">
        <v>267</v>
      </c>
      <c r="B241">
        <v>0</v>
      </c>
      <c r="C241">
        <v>0</v>
      </c>
      <c r="D241">
        <v>0</v>
      </c>
      <c r="E241">
        <v>0</v>
      </c>
      <c r="F241" s="4"/>
      <c r="I241" s="4" t="s">
        <v>237</v>
      </c>
      <c r="J241">
        <f t="shared" si="12"/>
        <v>0</v>
      </c>
      <c r="K241">
        <f t="shared" si="13"/>
        <v>0</v>
      </c>
      <c r="L241">
        <f t="shared" si="14"/>
        <v>0</v>
      </c>
      <c r="M241">
        <f t="shared" si="15"/>
        <v>0</v>
      </c>
      <c r="N241" s="4"/>
    </row>
    <row r="242" spans="1:14">
      <c r="A242" t="s">
        <v>262</v>
      </c>
      <c r="B242">
        <v>0</v>
      </c>
      <c r="C242">
        <v>4</v>
      </c>
      <c r="D242">
        <v>0</v>
      </c>
      <c r="E242">
        <v>1</v>
      </c>
      <c r="F242" s="4"/>
      <c r="I242" s="4" t="s">
        <v>238</v>
      </c>
      <c r="J242">
        <f t="shared" si="12"/>
        <v>0</v>
      </c>
      <c r="K242">
        <f t="shared" si="13"/>
        <v>0</v>
      </c>
      <c r="L242">
        <f t="shared" si="14"/>
        <v>0</v>
      </c>
      <c r="M242">
        <f t="shared" si="15"/>
        <v>0</v>
      </c>
      <c r="N242" s="4"/>
    </row>
    <row r="243" spans="1:14">
      <c r="A243" t="s">
        <v>456</v>
      </c>
      <c r="B243">
        <v>15</v>
      </c>
      <c r="C243">
        <v>0</v>
      </c>
      <c r="D243">
        <v>0</v>
      </c>
      <c r="E243">
        <v>7</v>
      </c>
      <c r="F243" s="4"/>
      <c r="I243" s="4" t="s">
        <v>239</v>
      </c>
      <c r="J243">
        <f t="shared" si="12"/>
        <v>0</v>
      </c>
      <c r="K243">
        <f t="shared" si="13"/>
        <v>0</v>
      </c>
      <c r="L243">
        <f t="shared" si="14"/>
        <v>0</v>
      </c>
      <c r="M243">
        <f t="shared" si="15"/>
        <v>0</v>
      </c>
      <c r="N243" s="4"/>
    </row>
    <row r="244" spans="1:14">
      <c r="A244" t="s">
        <v>457</v>
      </c>
      <c r="B244">
        <v>17</v>
      </c>
      <c r="C244">
        <v>20</v>
      </c>
      <c r="D244">
        <v>0</v>
      </c>
      <c r="E244">
        <v>34</v>
      </c>
      <c r="F244" s="4"/>
      <c r="I244" s="4" t="s">
        <v>240</v>
      </c>
      <c r="J244">
        <f t="shared" si="12"/>
        <v>0</v>
      </c>
      <c r="K244">
        <f t="shared" si="13"/>
        <v>0</v>
      </c>
      <c r="L244">
        <f t="shared" si="14"/>
        <v>0</v>
      </c>
      <c r="M244">
        <f t="shared" si="15"/>
        <v>0</v>
      </c>
      <c r="N244" s="4"/>
    </row>
    <row r="245" spans="1:14">
      <c r="A245" t="s">
        <v>458</v>
      </c>
      <c r="B245">
        <v>0</v>
      </c>
      <c r="C245">
        <v>0</v>
      </c>
      <c r="D245">
        <v>0</v>
      </c>
      <c r="E245">
        <v>0</v>
      </c>
      <c r="F245" s="4"/>
      <c r="I245" s="4" t="s">
        <v>241</v>
      </c>
      <c r="J245">
        <f t="shared" si="12"/>
        <v>0</v>
      </c>
      <c r="K245">
        <f t="shared" si="13"/>
        <v>0</v>
      </c>
      <c r="L245">
        <f t="shared" si="14"/>
        <v>0</v>
      </c>
      <c r="M245">
        <f t="shared" si="15"/>
        <v>0</v>
      </c>
      <c r="N245" s="4"/>
    </row>
    <row r="246" spans="1:14">
      <c r="A246" t="s">
        <v>266</v>
      </c>
      <c r="B246">
        <v>0</v>
      </c>
      <c r="C246">
        <v>0</v>
      </c>
      <c r="D246">
        <v>0</v>
      </c>
      <c r="E246">
        <v>0</v>
      </c>
      <c r="F246" s="4"/>
      <c r="I246" s="4" t="s">
        <v>242</v>
      </c>
      <c r="J246">
        <f t="shared" si="12"/>
        <v>0</v>
      </c>
      <c r="K246">
        <f t="shared" si="13"/>
        <v>0</v>
      </c>
      <c r="L246">
        <f t="shared" si="14"/>
        <v>0</v>
      </c>
      <c r="M246">
        <f t="shared" si="15"/>
        <v>0</v>
      </c>
      <c r="N246" s="4"/>
    </row>
    <row r="247" spans="1:14">
      <c r="A247" t="s">
        <v>261</v>
      </c>
      <c r="B247">
        <v>1</v>
      </c>
      <c r="C247">
        <v>0</v>
      </c>
      <c r="D247">
        <v>0</v>
      </c>
      <c r="E247">
        <v>1</v>
      </c>
      <c r="F247" s="4"/>
      <c r="I247" s="4" t="s">
        <v>243</v>
      </c>
      <c r="J247">
        <f t="shared" si="12"/>
        <v>0</v>
      </c>
      <c r="K247">
        <f t="shared" si="13"/>
        <v>0</v>
      </c>
      <c r="L247">
        <f t="shared" si="14"/>
        <v>0</v>
      </c>
      <c r="M247">
        <f t="shared" si="15"/>
        <v>0</v>
      </c>
      <c r="N247" s="4"/>
    </row>
    <row r="248" spans="1:14">
      <c r="A248" t="s">
        <v>459</v>
      </c>
      <c r="B248">
        <v>9</v>
      </c>
      <c r="C248">
        <v>24</v>
      </c>
      <c r="D248">
        <v>0</v>
      </c>
      <c r="E248">
        <v>12</v>
      </c>
      <c r="F248" s="4"/>
      <c r="I248" s="4" t="s">
        <v>244</v>
      </c>
      <c r="J248">
        <f t="shared" si="12"/>
        <v>0</v>
      </c>
      <c r="K248">
        <f t="shared" si="13"/>
        <v>0</v>
      </c>
      <c r="L248">
        <f t="shared" si="14"/>
        <v>0</v>
      </c>
      <c r="M248">
        <f t="shared" si="15"/>
        <v>0</v>
      </c>
      <c r="N248" s="4"/>
    </row>
    <row r="249" spans="1:14">
      <c r="A249" t="s">
        <v>460</v>
      </c>
      <c r="B249">
        <v>10</v>
      </c>
      <c r="C249">
        <v>8</v>
      </c>
      <c r="D249">
        <v>0</v>
      </c>
      <c r="E249">
        <v>10</v>
      </c>
      <c r="F249" s="4"/>
      <c r="I249" s="4" t="s">
        <v>245</v>
      </c>
      <c r="J249">
        <f t="shared" si="12"/>
        <v>0</v>
      </c>
      <c r="K249">
        <f t="shared" si="13"/>
        <v>0</v>
      </c>
      <c r="L249">
        <f t="shared" si="14"/>
        <v>0</v>
      </c>
      <c r="M249">
        <f t="shared" si="15"/>
        <v>0</v>
      </c>
      <c r="N249" s="4"/>
    </row>
    <row r="250" spans="1:14">
      <c r="A250" t="s">
        <v>461</v>
      </c>
      <c r="B250">
        <v>9.9600000000000009</v>
      </c>
      <c r="C250">
        <v>8</v>
      </c>
      <c r="D250">
        <v>0</v>
      </c>
      <c r="E250">
        <v>17</v>
      </c>
      <c r="F250" s="4"/>
      <c r="I250" s="4" t="s">
        <v>246</v>
      </c>
      <c r="J250">
        <f t="shared" si="12"/>
        <v>0</v>
      </c>
      <c r="K250">
        <f t="shared" si="13"/>
        <v>0</v>
      </c>
      <c r="L250">
        <f t="shared" si="14"/>
        <v>0</v>
      </c>
      <c r="M250">
        <f t="shared" si="15"/>
        <v>0</v>
      </c>
      <c r="N250" s="4"/>
    </row>
    <row r="251" spans="1:14">
      <c r="A251" t="s">
        <v>462</v>
      </c>
      <c r="B251">
        <v>10</v>
      </c>
      <c r="C251">
        <v>24</v>
      </c>
      <c r="D251">
        <v>0</v>
      </c>
      <c r="E251">
        <v>29</v>
      </c>
      <c r="F251" s="4"/>
      <c r="I251" s="5" t="s">
        <v>247</v>
      </c>
      <c r="J251">
        <f t="shared" si="12"/>
        <v>0</v>
      </c>
      <c r="K251">
        <f t="shared" si="13"/>
        <v>0</v>
      </c>
      <c r="L251">
        <f t="shared" si="14"/>
        <v>0</v>
      </c>
      <c r="M251">
        <f t="shared" si="15"/>
        <v>0</v>
      </c>
      <c r="N251" s="4"/>
    </row>
    <row r="252" spans="1:14" ht="15.75">
      <c r="A252" t="s">
        <v>463</v>
      </c>
      <c r="B252">
        <v>7</v>
      </c>
      <c r="C252">
        <v>15.96</v>
      </c>
      <c r="D252">
        <v>0</v>
      </c>
      <c r="E252">
        <v>9</v>
      </c>
      <c r="F252" s="4"/>
      <c r="I252" s="7" t="s">
        <v>248</v>
      </c>
      <c r="J252">
        <f t="shared" si="12"/>
        <v>0</v>
      </c>
      <c r="K252">
        <f t="shared" si="13"/>
        <v>0</v>
      </c>
      <c r="L252">
        <f t="shared" si="14"/>
        <v>0</v>
      </c>
      <c r="M252">
        <f t="shared" si="15"/>
        <v>0</v>
      </c>
      <c r="N252" s="4">
        <v>15</v>
      </c>
    </row>
    <row r="253" spans="1:14" ht="15.75">
      <c r="A253" t="s">
        <v>269</v>
      </c>
      <c r="B253">
        <v>0</v>
      </c>
      <c r="C253">
        <v>0</v>
      </c>
      <c r="D253">
        <v>0</v>
      </c>
      <c r="E253">
        <v>0</v>
      </c>
      <c r="F253" s="4"/>
      <c r="I253" s="7" t="s">
        <v>249</v>
      </c>
      <c r="J253">
        <f t="shared" si="12"/>
        <v>0</v>
      </c>
      <c r="K253">
        <f t="shared" si="13"/>
        <v>0</v>
      </c>
      <c r="L253">
        <f t="shared" si="14"/>
        <v>0</v>
      </c>
      <c r="M253">
        <f t="shared" si="15"/>
        <v>0</v>
      </c>
      <c r="N253" s="4">
        <v>7</v>
      </c>
    </row>
    <row r="254" spans="1:14" ht="15.75">
      <c r="A254" t="s">
        <v>464</v>
      </c>
      <c r="B254">
        <v>0</v>
      </c>
      <c r="C254">
        <v>0</v>
      </c>
      <c r="D254">
        <v>0</v>
      </c>
      <c r="E254">
        <v>0</v>
      </c>
      <c r="F254" s="4"/>
      <c r="I254" s="7" t="s">
        <v>250</v>
      </c>
      <c r="J254">
        <f t="shared" si="12"/>
        <v>0</v>
      </c>
      <c r="K254">
        <f t="shared" si="13"/>
        <v>0</v>
      </c>
      <c r="L254">
        <f t="shared" si="14"/>
        <v>0</v>
      </c>
      <c r="M254">
        <f t="shared" si="15"/>
        <v>0</v>
      </c>
      <c r="N254" s="4">
        <v>1</v>
      </c>
    </row>
    <row r="255" spans="1:14" ht="15.75">
      <c r="A255" t="s">
        <v>465</v>
      </c>
      <c r="B255">
        <v>11</v>
      </c>
      <c r="C255">
        <v>0</v>
      </c>
      <c r="D255">
        <v>0</v>
      </c>
      <c r="E255">
        <v>9</v>
      </c>
      <c r="F255" s="4"/>
      <c r="I255" s="8" t="s">
        <v>251</v>
      </c>
      <c r="J255">
        <f t="shared" si="12"/>
        <v>0</v>
      </c>
      <c r="K255">
        <f t="shared" si="13"/>
        <v>0</v>
      </c>
      <c r="L255">
        <f t="shared" si="14"/>
        <v>0</v>
      </c>
      <c r="M255">
        <f t="shared" si="15"/>
        <v>0</v>
      </c>
      <c r="N255" s="4">
        <v>4</v>
      </c>
    </row>
    <row r="256" spans="1:14" ht="15.75">
      <c r="A256" t="s">
        <v>466</v>
      </c>
      <c r="B256">
        <v>13</v>
      </c>
      <c r="C256">
        <v>0</v>
      </c>
      <c r="D256">
        <v>0</v>
      </c>
      <c r="E256">
        <v>9</v>
      </c>
      <c r="F256" s="4"/>
      <c r="I256" s="7" t="s">
        <v>252</v>
      </c>
      <c r="J256">
        <f t="shared" si="12"/>
        <v>0</v>
      </c>
      <c r="K256">
        <f t="shared" si="13"/>
        <v>0</v>
      </c>
      <c r="L256">
        <f t="shared" si="14"/>
        <v>0</v>
      </c>
      <c r="M256">
        <f t="shared" si="15"/>
        <v>0</v>
      </c>
      <c r="N256" s="4">
        <v>8</v>
      </c>
    </row>
    <row r="257" spans="1:14" ht="15.75">
      <c r="A257" t="s">
        <v>467</v>
      </c>
      <c r="B257">
        <v>10</v>
      </c>
      <c r="C257">
        <v>0</v>
      </c>
      <c r="D257">
        <v>0</v>
      </c>
      <c r="E257">
        <v>9</v>
      </c>
      <c r="F257" s="4"/>
      <c r="I257" s="8" t="s">
        <v>253</v>
      </c>
      <c r="J257">
        <f t="shared" si="12"/>
        <v>0</v>
      </c>
      <c r="K257">
        <f t="shared" si="13"/>
        <v>0</v>
      </c>
      <c r="L257">
        <f t="shared" si="14"/>
        <v>0</v>
      </c>
      <c r="M257">
        <f t="shared" si="15"/>
        <v>0</v>
      </c>
      <c r="N257" s="4">
        <v>8</v>
      </c>
    </row>
    <row r="258" spans="1:14" ht="15.75">
      <c r="A258" t="s">
        <v>468</v>
      </c>
      <c r="B258">
        <v>11</v>
      </c>
      <c r="C258">
        <v>16</v>
      </c>
      <c r="D258">
        <v>0</v>
      </c>
      <c r="E258">
        <v>12</v>
      </c>
      <c r="F258" s="4"/>
      <c r="I258" s="7" t="s">
        <v>254</v>
      </c>
      <c r="J258">
        <f t="shared" si="12"/>
        <v>0</v>
      </c>
      <c r="K258">
        <f t="shared" si="13"/>
        <v>0</v>
      </c>
      <c r="L258">
        <f t="shared" si="14"/>
        <v>0</v>
      </c>
      <c r="M258">
        <f t="shared" si="15"/>
        <v>0</v>
      </c>
      <c r="N258" s="4"/>
    </row>
    <row r="259" spans="1:14" ht="15.75">
      <c r="A259" t="s">
        <v>469</v>
      </c>
      <c r="B259">
        <v>0</v>
      </c>
      <c r="C259">
        <v>0</v>
      </c>
      <c r="D259">
        <v>0</v>
      </c>
      <c r="E259">
        <v>0</v>
      </c>
      <c r="F259" s="4"/>
      <c r="I259" s="7" t="s">
        <v>255</v>
      </c>
      <c r="J259">
        <f t="shared" si="12"/>
        <v>0</v>
      </c>
      <c r="K259">
        <f t="shared" si="13"/>
        <v>0</v>
      </c>
      <c r="L259">
        <f t="shared" si="14"/>
        <v>0</v>
      </c>
      <c r="M259">
        <f t="shared" si="15"/>
        <v>0</v>
      </c>
      <c r="N259" s="4">
        <v>2</v>
      </c>
    </row>
    <row r="260" spans="1:14" ht="15.75">
      <c r="A260" t="s">
        <v>470</v>
      </c>
      <c r="B260">
        <v>0</v>
      </c>
      <c r="C260">
        <v>48</v>
      </c>
      <c r="D260">
        <v>0</v>
      </c>
      <c r="E260">
        <v>46</v>
      </c>
      <c r="F260" s="4"/>
      <c r="I260" s="7" t="s">
        <v>256</v>
      </c>
      <c r="J260">
        <f t="shared" si="12"/>
        <v>0</v>
      </c>
      <c r="K260">
        <f t="shared" si="13"/>
        <v>0</v>
      </c>
      <c r="L260">
        <f t="shared" si="14"/>
        <v>0</v>
      </c>
      <c r="M260">
        <f t="shared" si="15"/>
        <v>0</v>
      </c>
      <c r="N260" s="4">
        <v>4</v>
      </c>
    </row>
    <row r="261" spans="1:14" ht="15.75">
      <c r="A261" t="s">
        <v>259</v>
      </c>
      <c r="B261">
        <v>0</v>
      </c>
      <c r="C261">
        <v>8</v>
      </c>
      <c r="D261">
        <v>0</v>
      </c>
      <c r="E261">
        <v>9</v>
      </c>
      <c r="F261" s="4"/>
      <c r="I261" s="7" t="s">
        <v>257</v>
      </c>
      <c r="J261">
        <f t="shared" ref="J261:J319" si="16">IFERROR(VLOOKUP(I261,A$2:B$357,2,FALSE),0)</f>
        <v>3</v>
      </c>
      <c r="K261">
        <f t="shared" ref="K261:K319" si="17">IFERROR(VLOOKUP(I261,A$2:C$357,3,FALSE),0)</f>
        <v>4</v>
      </c>
      <c r="L261">
        <f t="shared" ref="L261:L319" si="18">IFERROR(VLOOKUP(I261,A$2:D$357,4,FALSE),0)</f>
        <v>0</v>
      </c>
      <c r="M261">
        <f t="shared" ref="M261:M319" si="19">IFERROR(VLOOKUP(I261,A$2:E$357,5,FALSE),0)</f>
        <v>7</v>
      </c>
      <c r="N261" s="4"/>
    </row>
    <row r="262" spans="1:14" ht="15.75">
      <c r="A262" t="s">
        <v>471</v>
      </c>
      <c r="B262">
        <v>0</v>
      </c>
      <c r="C262">
        <v>0</v>
      </c>
      <c r="D262">
        <v>0</v>
      </c>
      <c r="E262">
        <v>0</v>
      </c>
      <c r="F262" s="4"/>
      <c r="I262" s="7" t="s">
        <v>258</v>
      </c>
      <c r="J262">
        <f t="shared" si="16"/>
        <v>2</v>
      </c>
      <c r="K262">
        <f t="shared" si="17"/>
        <v>0</v>
      </c>
      <c r="L262">
        <f t="shared" si="18"/>
        <v>0</v>
      </c>
      <c r="M262">
        <f t="shared" si="19"/>
        <v>3</v>
      </c>
      <c r="N262" s="4"/>
    </row>
    <row r="263" spans="1:14" ht="15.75">
      <c r="A263" t="s">
        <v>472</v>
      </c>
      <c r="B263">
        <v>0</v>
      </c>
      <c r="C263">
        <v>0</v>
      </c>
      <c r="D263">
        <v>0</v>
      </c>
      <c r="E263">
        <v>0</v>
      </c>
      <c r="F263" s="4"/>
      <c r="I263" s="7" t="s">
        <v>259</v>
      </c>
      <c r="J263">
        <f t="shared" si="16"/>
        <v>0</v>
      </c>
      <c r="K263">
        <f t="shared" si="17"/>
        <v>8</v>
      </c>
      <c r="L263">
        <f t="shared" si="18"/>
        <v>0</v>
      </c>
      <c r="M263">
        <f t="shared" si="19"/>
        <v>9</v>
      </c>
      <c r="N263" s="4"/>
    </row>
    <row r="264" spans="1:14" ht="15.75">
      <c r="A264" t="s">
        <v>258</v>
      </c>
      <c r="B264">
        <v>2</v>
      </c>
      <c r="C264">
        <v>0</v>
      </c>
      <c r="D264">
        <v>0</v>
      </c>
      <c r="E264">
        <v>3</v>
      </c>
      <c r="F264" s="4"/>
      <c r="I264" s="7" t="s">
        <v>260</v>
      </c>
      <c r="J264">
        <f t="shared" si="16"/>
        <v>1</v>
      </c>
      <c r="K264">
        <f t="shared" si="17"/>
        <v>4</v>
      </c>
      <c r="L264">
        <f t="shared" si="18"/>
        <v>0</v>
      </c>
      <c r="M264">
        <f t="shared" si="19"/>
        <v>4</v>
      </c>
      <c r="N264" s="4"/>
    </row>
    <row r="265" spans="1:14" ht="15.75">
      <c r="A265" t="s">
        <v>473</v>
      </c>
      <c r="B265">
        <v>0</v>
      </c>
      <c r="C265">
        <v>0</v>
      </c>
      <c r="D265">
        <v>0</v>
      </c>
      <c r="E265">
        <v>0</v>
      </c>
      <c r="F265" s="4"/>
      <c r="I265" s="7" t="s">
        <v>261</v>
      </c>
      <c r="J265">
        <f t="shared" si="16"/>
        <v>1</v>
      </c>
      <c r="K265">
        <f t="shared" si="17"/>
        <v>0</v>
      </c>
      <c r="L265">
        <f t="shared" si="18"/>
        <v>0</v>
      </c>
      <c r="M265">
        <f t="shared" si="19"/>
        <v>1</v>
      </c>
      <c r="N265" s="4"/>
    </row>
    <row r="266" spans="1:14" ht="15.75">
      <c r="A266" t="s">
        <v>474</v>
      </c>
      <c r="B266">
        <v>0</v>
      </c>
      <c r="C266">
        <v>0</v>
      </c>
      <c r="D266">
        <v>0</v>
      </c>
      <c r="E266">
        <v>0</v>
      </c>
      <c r="F266" s="4"/>
      <c r="I266" s="7" t="s">
        <v>262</v>
      </c>
      <c r="J266">
        <f t="shared" si="16"/>
        <v>0</v>
      </c>
      <c r="K266">
        <f t="shared" si="17"/>
        <v>4</v>
      </c>
      <c r="L266">
        <f t="shared" si="18"/>
        <v>0</v>
      </c>
      <c r="M266">
        <f t="shared" si="19"/>
        <v>1</v>
      </c>
      <c r="N266" s="4">
        <v>1</v>
      </c>
    </row>
    <row r="267" spans="1:14" ht="15.75">
      <c r="A267" t="s">
        <v>475</v>
      </c>
      <c r="B267">
        <v>0</v>
      </c>
      <c r="C267">
        <v>12</v>
      </c>
      <c r="D267">
        <v>0</v>
      </c>
      <c r="E267">
        <v>7</v>
      </c>
      <c r="F267" s="4"/>
      <c r="I267" s="7" t="s">
        <v>263</v>
      </c>
      <c r="J267">
        <f t="shared" si="16"/>
        <v>0</v>
      </c>
      <c r="K267">
        <f t="shared" si="17"/>
        <v>0</v>
      </c>
      <c r="L267">
        <f t="shared" si="18"/>
        <v>0</v>
      </c>
      <c r="M267">
        <f t="shared" si="19"/>
        <v>0</v>
      </c>
      <c r="N267" s="4"/>
    </row>
    <row r="268" spans="1:14" ht="15.75">
      <c r="A268" t="s">
        <v>476</v>
      </c>
      <c r="B268">
        <v>-1</v>
      </c>
      <c r="C268">
        <v>10</v>
      </c>
      <c r="D268">
        <v>0</v>
      </c>
      <c r="E268">
        <v>7</v>
      </c>
      <c r="F268" s="4"/>
      <c r="I268" s="7" t="s">
        <v>264</v>
      </c>
      <c r="J268">
        <f t="shared" si="16"/>
        <v>0</v>
      </c>
      <c r="K268">
        <f t="shared" si="17"/>
        <v>0</v>
      </c>
      <c r="L268">
        <f t="shared" si="18"/>
        <v>0</v>
      </c>
      <c r="M268">
        <f t="shared" si="19"/>
        <v>0</v>
      </c>
      <c r="N268" s="4"/>
    </row>
    <row r="269" spans="1:14">
      <c r="A269" t="s">
        <v>477</v>
      </c>
      <c r="B269">
        <v>0</v>
      </c>
      <c r="C269">
        <v>0</v>
      </c>
      <c r="D269">
        <v>0</v>
      </c>
      <c r="E269">
        <v>0</v>
      </c>
      <c r="F269" s="4"/>
      <c r="I269" s="2" t="s">
        <v>265</v>
      </c>
      <c r="J269">
        <f t="shared" si="16"/>
        <v>0</v>
      </c>
      <c r="K269">
        <f t="shared" si="17"/>
        <v>0</v>
      </c>
      <c r="L269">
        <f t="shared" si="18"/>
        <v>0</v>
      </c>
      <c r="M269">
        <f t="shared" si="19"/>
        <v>0</v>
      </c>
      <c r="N269" s="4"/>
    </row>
    <row r="270" spans="1:14" ht="15.75">
      <c r="A270" t="s">
        <v>478</v>
      </c>
      <c r="B270">
        <v>0</v>
      </c>
      <c r="C270">
        <v>0</v>
      </c>
      <c r="D270">
        <v>0</v>
      </c>
      <c r="E270">
        <v>0</v>
      </c>
      <c r="F270" s="4"/>
      <c r="I270" s="7" t="s">
        <v>266</v>
      </c>
      <c r="J270">
        <f t="shared" si="16"/>
        <v>0</v>
      </c>
      <c r="K270">
        <f t="shared" si="17"/>
        <v>0</v>
      </c>
      <c r="L270">
        <f t="shared" si="18"/>
        <v>0</v>
      </c>
      <c r="M270">
        <f t="shared" si="19"/>
        <v>0</v>
      </c>
      <c r="N270" s="4"/>
    </row>
    <row r="271" spans="1:14" ht="15.75">
      <c r="A271" t="s">
        <v>479</v>
      </c>
      <c r="B271">
        <v>0</v>
      </c>
      <c r="C271">
        <v>4</v>
      </c>
      <c r="D271">
        <v>0</v>
      </c>
      <c r="E271">
        <v>0</v>
      </c>
      <c r="F271" s="4"/>
      <c r="I271" s="7" t="s">
        <v>267</v>
      </c>
      <c r="J271">
        <f t="shared" si="16"/>
        <v>0</v>
      </c>
      <c r="K271">
        <f t="shared" si="17"/>
        <v>0</v>
      </c>
      <c r="L271">
        <f t="shared" si="18"/>
        <v>0</v>
      </c>
      <c r="M271">
        <f t="shared" si="19"/>
        <v>0</v>
      </c>
      <c r="N271" s="4"/>
    </row>
    <row r="272" spans="1:14" ht="15.75">
      <c r="A272" t="s">
        <v>480</v>
      </c>
      <c r="B272">
        <v>0</v>
      </c>
      <c r="C272">
        <v>0</v>
      </c>
      <c r="D272">
        <v>0</v>
      </c>
      <c r="E272">
        <v>0</v>
      </c>
      <c r="F272" s="4"/>
      <c r="I272" s="7" t="s">
        <v>268</v>
      </c>
      <c r="J272">
        <f t="shared" si="16"/>
        <v>0</v>
      </c>
      <c r="K272">
        <f t="shared" si="17"/>
        <v>0</v>
      </c>
      <c r="L272">
        <f t="shared" si="18"/>
        <v>0</v>
      </c>
      <c r="M272">
        <f t="shared" si="19"/>
        <v>0</v>
      </c>
      <c r="N272" s="4"/>
    </row>
    <row r="273" spans="1:14">
      <c r="A273" t="s">
        <v>481</v>
      </c>
      <c r="B273">
        <v>0</v>
      </c>
      <c r="C273">
        <v>5</v>
      </c>
      <c r="D273">
        <v>0</v>
      </c>
      <c r="E273">
        <v>1</v>
      </c>
      <c r="F273" s="4"/>
      <c r="I273" s="9" t="s">
        <v>269</v>
      </c>
      <c r="J273">
        <f t="shared" si="16"/>
        <v>0</v>
      </c>
      <c r="K273">
        <f t="shared" si="17"/>
        <v>0</v>
      </c>
      <c r="L273">
        <f t="shared" si="18"/>
        <v>0</v>
      </c>
      <c r="M273">
        <f t="shared" si="19"/>
        <v>0</v>
      </c>
      <c r="N273" s="4"/>
    </row>
    <row r="274" spans="1:14" ht="15.75">
      <c r="A274" t="s">
        <v>482</v>
      </c>
      <c r="B274">
        <v>0</v>
      </c>
      <c r="C274">
        <v>18</v>
      </c>
      <c r="D274">
        <v>0</v>
      </c>
      <c r="E274">
        <v>16</v>
      </c>
      <c r="F274" s="4"/>
      <c r="I274" s="7" t="s">
        <v>270</v>
      </c>
      <c r="J274">
        <f t="shared" si="16"/>
        <v>0</v>
      </c>
      <c r="K274">
        <f t="shared" si="17"/>
        <v>0</v>
      </c>
      <c r="L274">
        <f t="shared" si="18"/>
        <v>0</v>
      </c>
      <c r="M274">
        <f t="shared" si="19"/>
        <v>0</v>
      </c>
      <c r="N274" s="4">
        <v>4</v>
      </c>
    </row>
    <row r="275" spans="1:14" ht="15.75">
      <c r="A275" t="s">
        <v>483</v>
      </c>
      <c r="B275">
        <v>-5</v>
      </c>
      <c r="C275">
        <v>10</v>
      </c>
      <c r="D275">
        <v>0</v>
      </c>
      <c r="E275">
        <v>5</v>
      </c>
      <c r="F275" s="4"/>
      <c r="I275" s="7" t="s">
        <v>271</v>
      </c>
      <c r="J275">
        <f t="shared" si="16"/>
        <v>0</v>
      </c>
      <c r="K275">
        <f t="shared" si="17"/>
        <v>0</v>
      </c>
      <c r="L275">
        <f t="shared" si="18"/>
        <v>0</v>
      </c>
      <c r="M275">
        <f t="shared" si="19"/>
        <v>0</v>
      </c>
      <c r="N275" s="4">
        <v>1</v>
      </c>
    </row>
    <row r="276" spans="1:14" ht="15.75">
      <c r="A276" t="s">
        <v>484</v>
      </c>
      <c r="B276">
        <v>-3</v>
      </c>
      <c r="C276">
        <v>12</v>
      </c>
      <c r="D276">
        <v>0</v>
      </c>
      <c r="E276">
        <v>4</v>
      </c>
      <c r="F276" s="4"/>
      <c r="I276" s="7" t="s">
        <v>272</v>
      </c>
      <c r="J276">
        <f t="shared" si="16"/>
        <v>0</v>
      </c>
      <c r="K276">
        <f t="shared" si="17"/>
        <v>0</v>
      </c>
      <c r="L276">
        <f t="shared" si="18"/>
        <v>0</v>
      </c>
      <c r="M276">
        <f t="shared" si="19"/>
        <v>0</v>
      </c>
      <c r="N276" s="4">
        <v>2</v>
      </c>
    </row>
    <row r="277" spans="1:14" ht="15.75">
      <c r="A277" t="s">
        <v>485</v>
      </c>
      <c r="B277">
        <v>0</v>
      </c>
      <c r="C277">
        <v>8</v>
      </c>
      <c r="D277">
        <v>0</v>
      </c>
      <c r="E277">
        <v>3</v>
      </c>
      <c r="I277" s="10" t="s">
        <v>273</v>
      </c>
      <c r="J277">
        <f t="shared" si="16"/>
        <v>0</v>
      </c>
      <c r="K277">
        <f t="shared" si="17"/>
        <v>0</v>
      </c>
      <c r="L277">
        <f t="shared" si="18"/>
        <v>0</v>
      </c>
      <c r="M277">
        <f t="shared" si="19"/>
        <v>0</v>
      </c>
    </row>
    <row r="278" spans="1:14" ht="15.75">
      <c r="A278" t="s">
        <v>486</v>
      </c>
      <c r="B278">
        <v>0</v>
      </c>
      <c r="C278">
        <v>0</v>
      </c>
      <c r="D278">
        <v>0</v>
      </c>
      <c r="E278">
        <v>0</v>
      </c>
      <c r="I278" s="10" t="s">
        <v>274</v>
      </c>
      <c r="J278">
        <f t="shared" si="16"/>
        <v>0</v>
      </c>
      <c r="K278">
        <f t="shared" si="17"/>
        <v>0</v>
      </c>
      <c r="L278">
        <f t="shared" si="18"/>
        <v>0</v>
      </c>
      <c r="M278">
        <f t="shared" si="19"/>
        <v>0</v>
      </c>
    </row>
    <row r="279" spans="1:14" ht="15.75">
      <c r="A279" t="s">
        <v>203</v>
      </c>
      <c r="B279">
        <v>3</v>
      </c>
      <c r="C279">
        <v>18</v>
      </c>
      <c r="D279">
        <v>0</v>
      </c>
      <c r="E279">
        <v>19</v>
      </c>
      <c r="I279" s="10" t="s">
        <v>275</v>
      </c>
      <c r="J279">
        <f t="shared" si="16"/>
        <v>0</v>
      </c>
      <c r="K279">
        <f t="shared" si="17"/>
        <v>0</v>
      </c>
      <c r="L279">
        <f t="shared" si="18"/>
        <v>0</v>
      </c>
      <c r="M279">
        <f t="shared" si="19"/>
        <v>0</v>
      </c>
    </row>
    <row r="280" spans="1:14" ht="15.75">
      <c r="A280" t="s">
        <v>205</v>
      </c>
      <c r="B280">
        <v>0</v>
      </c>
      <c r="C280">
        <v>12</v>
      </c>
      <c r="D280">
        <v>0</v>
      </c>
      <c r="E280">
        <v>13</v>
      </c>
      <c r="I280" s="10" t="s">
        <v>276</v>
      </c>
      <c r="J280">
        <f t="shared" si="16"/>
        <v>0</v>
      </c>
      <c r="K280">
        <f t="shared" si="17"/>
        <v>0</v>
      </c>
      <c r="L280">
        <f t="shared" si="18"/>
        <v>0</v>
      </c>
      <c r="M280">
        <f t="shared" si="19"/>
        <v>0</v>
      </c>
    </row>
    <row r="281" spans="1:14" ht="15.75">
      <c r="A281" t="s">
        <v>487</v>
      </c>
      <c r="B281">
        <v>0</v>
      </c>
      <c r="C281">
        <v>0</v>
      </c>
      <c r="D281">
        <v>0</v>
      </c>
      <c r="E281">
        <v>0</v>
      </c>
      <c r="I281" s="10" t="s">
        <v>277</v>
      </c>
      <c r="J281">
        <f t="shared" si="16"/>
        <v>0</v>
      </c>
      <c r="K281">
        <f t="shared" si="17"/>
        <v>0</v>
      </c>
      <c r="L281">
        <f t="shared" si="18"/>
        <v>0</v>
      </c>
      <c r="M281">
        <f t="shared" si="19"/>
        <v>0</v>
      </c>
    </row>
    <row r="282" spans="1:14" ht="15.75">
      <c r="A282" t="s">
        <v>206</v>
      </c>
      <c r="B282">
        <v>3</v>
      </c>
      <c r="C282">
        <v>10</v>
      </c>
      <c r="D282">
        <v>0</v>
      </c>
      <c r="E282">
        <v>7</v>
      </c>
      <c r="I282" s="10" t="s">
        <v>278</v>
      </c>
      <c r="J282">
        <f t="shared" si="16"/>
        <v>0</v>
      </c>
      <c r="K282">
        <f t="shared" si="17"/>
        <v>0</v>
      </c>
      <c r="L282">
        <f t="shared" si="18"/>
        <v>0</v>
      </c>
      <c r="M282">
        <f t="shared" si="19"/>
        <v>0</v>
      </c>
    </row>
    <row r="283" spans="1:14" ht="15.75">
      <c r="A283" t="s">
        <v>207</v>
      </c>
      <c r="B283">
        <v>5</v>
      </c>
      <c r="C283">
        <v>5</v>
      </c>
      <c r="D283">
        <v>0</v>
      </c>
      <c r="E283">
        <v>3</v>
      </c>
      <c r="I283" s="10" t="s">
        <v>279</v>
      </c>
      <c r="J283">
        <f t="shared" si="16"/>
        <v>0</v>
      </c>
      <c r="K283">
        <f t="shared" si="17"/>
        <v>0</v>
      </c>
      <c r="L283">
        <f t="shared" si="18"/>
        <v>0</v>
      </c>
      <c r="M283">
        <f t="shared" si="19"/>
        <v>0</v>
      </c>
    </row>
    <row r="284" spans="1:14" ht="15.75">
      <c r="A284" t="s">
        <v>488</v>
      </c>
      <c r="B284">
        <v>0</v>
      </c>
      <c r="C284">
        <v>0</v>
      </c>
      <c r="D284">
        <v>0</v>
      </c>
      <c r="E284">
        <v>0</v>
      </c>
      <c r="I284" s="10" t="s">
        <v>280</v>
      </c>
      <c r="J284">
        <f t="shared" si="16"/>
        <v>0</v>
      </c>
      <c r="K284">
        <f t="shared" si="17"/>
        <v>0</v>
      </c>
      <c r="L284">
        <f t="shared" si="18"/>
        <v>0</v>
      </c>
      <c r="M284">
        <f t="shared" si="19"/>
        <v>0</v>
      </c>
    </row>
    <row r="285" spans="1:14" ht="15.75">
      <c r="A285" t="s">
        <v>489</v>
      </c>
      <c r="B285">
        <v>0</v>
      </c>
      <c r="C285">
        <v>0</v>
      </c>
      <c r="D285">
        <v>0</v>
      </c>
      <c r="E285">
        <v>0</v>
      </c>
      <c r="I285" s="10" t="s">
        <v>281</v>
      </c>
      <c r="J285">
        <f t="shared" si="16"/>
        <v>0</v>
      </c>
      <c r="K285">
        <f t="shared" si="17"/>
        <v>0</v>
      </c>
      <c r="L285">
        <f t="shared" si="18"/>
        <v>0</v>
      </c>
      <c r="M285">
        <f t="shared" si="19"/>
        <v>0</v>
      </c>
    </row>
    <row r="286" spans="1:14" ht="15.75">
      <c r="A286" t="s">
        <v>490</v>
      </c>
      <c r="B286">
        <v>0</v>
      </c>
      <c r="C286">
        <v>0</v>
      </c>
      <c r="D286">
        <v>0</v>
      </c>
      <c r="E286">
        <v>0</v>
      </c>
      <c r="I286" s="10" t="s">
        <v>282</v>
      </c>
      <c r="J286">
        <f t="shared" si="16"/>
        <v>0</v>
      </c>
      <c r="K286">
        <f t="shared" si="17"/>
        <v>0</v>
      </c>
      <c r="L286">
        <f t="shared" si="18"/>
        <v>0</v>
      </c>
      <c r="M286">
        <f t="shared" si="19"/>
        <v>0</v>
      </c>
    </row>
    <row r="287" spans="1:14" ht="15.75">
      <c r="A287" t="s">
        <v>174</v>
      </c>
      <c r="B287">
        <v>34</v>
      </c>
      <c r="C287">
        <v>40</v>
      </c>
      <c r="D287">
        <v>0</v>
      </c>
      <c r="E287">
        <v>24</v>
      </c>
      <c r="I287" s="10" t="s">
        <v>283</v>
      </c>
      <c r="J287">
        <f t="shared" si="16"/>
        <v>0</v>
      </c>
      <c r="K287">
        <f t="shared" si="17"/>
        <v>0</v>
      </c>
      <c r="L287">
        <f t="shared" si="18"/>
        <v>0</v>
      </c>
      <c r="M287">
        <f t="shared" si="19"/>
        <v>0</v>
      </c>
    </row>
    <row r="288" spans="1:14" ht="15.75">
      <c r="A288" t="s">
        <v>175</v>
      </c>
      <c r="B288">
        <v>41</v>
      </c>
      <c r="C288">
        <v>0</v>
      </c>
      <c r="D288">
        <v>0</v>
      </c>
      <c r="E288">
        <v>13</v>
      </c>
      <c r="I288" s="10" t="s">
        <v>284</v>
      </c>
      <c r="J288">
        <f t="shared" si="16"/>
        <v>0</v>
      </c>
      <c r="K288">
        <f t="shared" si="17"/>
        <v>0</v>
      </c>
      <c r="L288">
        <f t="shared" si="18"/>
        <v>0</v>
      </c>
      <c r="M288">
        <f t="shared" si="19"/>
        <v>0</v>
      </c>
    </row>
    <row r="289" spans="1:13" ht="15.75">
      <c r="A289" t="s">
        <v>176</v>
      </c>
      <c r="B289">
        <v>30</v>
      </c>
      <c r="C289">
        <v>20</v>
      </c>
      <c r="D289">
        <v>0</v>
      </c>
      <c r="E289">
        <v>10</v>
      </c>
      <c r="I289" s="10" t="s">
        <v>285</v>
      </c>
      <c r="J289">
        <f t="shared" si="16"/>
        <v>0</v>
      </c>
      <c r="K289">
        <f t="shared" si="17"/>
        <v>0</v>
      </c>
      <c r="L289">
        <f t="shared" si="18"/>
        <v>0</v>
      </c>
      <c r="M289">
        <f t="shared" si="19"/>
        <v>0</v>
      </c>
    </row>
    <row r="290" spans="1:13" ht="15.75">
      <c r="A290" t="s">
        <v>177</v>
      </c>
      <c r="B290">
        <v>24</v>
      </c>
      <c r="C290">
        <v>40</v>
      </c>
      <c r="D290">
        <v>0</v>
      </c>
      <c r="E290">
        <v>46</v>
      </c>
      <c r="I290" s="10" t="s">
        <v>286</v>
      </c>
      <c r="J290">
        <f t="shared" si="16"/>
        <v>0</v>
      </c>
      <c r="K290">
        <f t="shared" si="17"/>
        <v>0</v>
      </c>
      <c r="L290">
        <f t="shared" si="18"/>
        <v>0</v>
      </c>
      <c r="M290">
        <f t="shared" si="19"/>
        <v>0</v>
      </c>
    </row>
    <row r="291" spans="1:13" ht="15.75">
      <c r="A291" t="s">
        <v>178</v>
      </c>
      <c r="B291">
        <v>31</v>
      </c>
      <c r="C291">
        <v>20</v>
      </c>
      <c r="D291">
        <v>0</v>
      </c>
      <c r="E291">
        <v>22</v>
      </c>
      <c r="I291" s="10" t="s">
        <v>287</v>
      </c>
      <c r="J291">
        <f t="shared" si="16"/>
        <v>0</v>
      </c>
      <c r="K291">
        <f t="shared" si="17"/>
        <v>0</v>
      </c>
      <c r="L291">
        <f t="shared" si="18"/>
        <v>0</v>
      </c>
      <c r="M291">
        <f t="shared" si="19"/>
        <v>0</v>
      </c>
    </row>
    <row r="292" spans="1:13" ht="15.75">
      <c r="A292" t="s">
        <v>179</v>
      </c>
      <c r="B292">
        <v>39</v>
      </c>
      <c r="C292">
        <v>100</v>
      </c>
      <c r="D292">
        <v>0</v>
      </c>
      <c r="E292">
        <v>79</v>
      </c>
      <c r="I292" s="10" t="s">
        <v>288</v>
      </c>
      <c r="J292">
        <f t="shared" si="16"/>
        <v>0</v>
      </c>
      <c r="K292">
        <f t="shared" si="17"/>
        <v>0</v>
      </c>
      <c r="L292">
        <f t="shared" si="18"/>
        <v>0</v>
      </c>
      <c r="M292">
        <f t="shared" si="19"/>
        <v>0</v>
      </c>
    </row>
    <row r="293" spans="1:13" ht="15.75">
      <c r="A293" t="s">
        <v>180</v>
      </c>
      <c r="B293">
        <v>28</v>
      </c>
      <c r="C293">
        <v>0</v>
      </c>
      <c r="D293">
        <v>0</v>
      </c>
      <c r="E293">
        <v>12</v>
      </c>
      <c r="I293" s="10" t="s">
        <v>289</v>
      </c>
      <c r="J293">
        <f t="shared" si="16"/>
        <v>0</v>
      </c>
      <c r="K293">
        <f t="shared" si="17"/>
        <v>0</v>
      </c>
      <c r="L293">
        <f t="shared" si="18"/>
        <v>0</v>
      </c>
      <c r="M293">
        <f t="shared" si="19"/>
        <v>0</v>
      </c>
    </row>
    <row r="294" spans="1:13" ht="15.75">
      <c r="A294" t="s">
        <v>181</v>
      </c>
      <c r="B294">
        <v>68</v>
      </c>
      <c r="C294">
        <v>100</v>
      </c>
      <c r="D294">
        <v>0</v>
      </c>
      <c r="E294">
        <v>124</v>
      </c>
      <c r="I294" s="10" t="s">
        <v>290</v>
      </c>
      <c r="J294">
        <f t="shared" si="16"/>
        <v>0</v>
      </c>
      <c r="K294">
        <f t="shared" si="17"/>
        <v>0</v>
      </c>
      <c r="L294">
        <f t="shared" si="18"/>
        <v>0</v>
      </c>
      <c r="M294">
        <f t="shared" si="19"/>
        <v>0</v>
      </c>
    </row>
    <row r="295" spans="1:13" ht="15.75">
      <c r="A295" t="s">
        <v>182</v>
      </c>
      <c r="B295">
        <v>30</v>
      </c>
      <c r="C295">
        <v>20</v>
      </c>
      <c r="D295">
        <v>0</v>
      </c>
      <c r="E295">
        <v>21</v>
      </c>
      <c r="I295" s="10" t="s">
        <v>291</v>
      </c>
      <c r="J295">
        <f t="shared" si="16"/>
        <v>0</v>
      </c>
      <c r="K295">
        <f t="shared" si="17"/>
        <v>0</v>
      </c>
      <c r="L295">
        <f t="shared" si="18"/>
        <v>0</v>
      </c>
      <c r="M295">
        <f t="shared" si="19"/>
        <v>0</v>
      </c>
    </row>
    <row r="296" spans="1:13" ht="15.75">
      <c r="A296" t="s">
        <v>183</v>
      </c>
      <c r="B296">
        <v>29</v>
      </c>
      <c r="C296">
        <v>0</v>
      </c>
      <c r="D296">
        <v>0</v>
      </c>
      <c r="E296">
        <v>28</v>
      </c>
      <c r="I296" s="10" t="s">
        <v>292</v>
      </c>
      <c r="J296">
        <f t="shared" si="16"/>
        <v>0</v>
      </c>
      <c r="K296">
        <f t="shared" si="17"/>
        <v>0</v>
      </c>
      <c r="L296">
        <f t="shared" si="18"/>
        <v>0</v>
      </c>
      <c r="M296">
        <f t="shared" si="19"/>
        <v>0</v>
      </c>
    </row>
    <row r="297" spans="1:13" ht="15.75">
      <c r="A297" t="s">
        <v>184</v>
      </c>
      <c r="B297">
        <v>32</v>
      </c>
      <c r="C297">
        <v>20</v>
      </c>
      <c r="D297">
        <v>0</v>
      </c>
      <c r="E297">
        <v>12</v>
      </c>
      <c r="I297" s="10" t="s">
        <v>293</v>
      </c>
      <c r="J297">
        <f t="shared" si="16"/>
        <v>0</v>
      </c>
      <c r="K297">
        <f t="shared" si="17"/>
        <v>0</v>
      </c>
      <c r="L297">
        <f t="shared" si="18"/>
        <v>0</v>
      </c>
      <c r="M297">
        <f t="shared" si="19"/>
        <v>0</v>
      </c>
    </row>
    <row r="298" spans="1:13" ht="15.75">
      <c r="A298" t="s">
        <v>491</v>
      </c>
      <c r="B298">
        <v>0</v>
      </c>
      <c r="C298">
        <v>0</v>
      </c>
      <c r="D298">
        <v>0</v>
      </c>
      <c r="E298">
        <v>0</v>
      </c>
      <c r="I298" s="10" t="s">
        <v>294</v>
      </c>
      <c r="J298">
        <f t="shared" si="16"/>
        <v>0</v>
      </c>
      <c r="K298">
        <f t="shared" si="17"/>
        <v>0</v>
      </c>
      <c r="L298">
        <f t="shared" si="18"/>
        <v>0</v>
      </c>
      <c r="M298">
        <f t="shared" si="19"/>
        <v>0</v>
      </c>
    </row>
    <row r="299" spans="1:13" ht="15.75">
      <c r="A299" t="s">
        <v>492</v>
      </c>
      <c r="B299">
        <v>0</v>
      </c>
      <c r="C299">
        <v>0</v>
      </c>
      <c r="D299">
        <v>0</v>
      </c>
      <c r="E299">
        <v>0</v>
      </c>
      <c r="I299" s="10" t="s">
        <v>295</v>
      </c>
      <c r="J299">
        <f t="shared" si="16"/>
        <v>0</v>
      </c>
      <c r="K299">
        <f t="shared" si="17"/>
        <v>0</v>
      </c>
      <c r="L299">
        <f t="shared" si="18"/>
        <v>0</v>
      </c>
      <c r="M299">
        <f t="shared" si="19"/>
        <v>0</v>
      </c>
    </row>
    <row r="300" spans="1:13" ht="15.75">
      <c r="A300" t="s">
        <v>493</v>
      </c>
      <c r="B300">
        <v>0</v>
      </c>
      <c r="C300">
        <v>0</v>
      </c>
      <c r="D300">
        <v>0</v>
      </c>
      <c r="E300">
        <v>0</v>
      </c>
      <c r="I300" s="10" t="s">
        <v>296</v>
      </c>
      <c r="J300">
        <f t="shared" si="16"/>
        <v>0</v>
      </c>
      <c r="K300">
        <f t="shared" si="17"/>
        <v>0</v>
      </c>
      <c r="L300">
        <f t="shared" si="18"/>
        <v>0</v>
      </c>
      <c r="M300">
        <f t="shared" si="19"/>
        <v>0</v>
      </c>
    </row>
    <row r="301" spans="1:13" ht="15.75">
      <c r="A301" t="s">
        <v>494</v>
      </c>
      <c r="B301">
        <v>0</v>
      </c>
      <c r="C301">
        <v>0</v>
      </c>
      <c r="D301">
        <v>0</v>
      </c>
      <c r="E301">
        <v>0</v>
      </c>
      <c r="I301" s="11" t="s">
        <v>297</v>
      </c>
      <c r="J301">
        <f t="shared" si="16"/>
        <v>0</v>
      </c>
      <c r="K301">
        <f t="shared" si="17"/>
        <v>0</v>
      </c>
      <c r="L301">
        <f t="shared" si="18"/>
        <v>0</v>
      </c>
      <c r="M301">
        <f t="shared" si="19"/>
        <v>0</v>
      </c>
    </row>
    <row r="302" spans="1:13" ht="15.75">
      <c r="A302" t="s">
        <v>495</v>
      </c>
      <c r="B302">
        <v>0</v>
      </c>
      <c r="C302">
        <v>0</v>
      </c>
      <c r="D302">
        <v>0</v>
      </c>
      <c r="E302">
        <v>0</v>
      </c>
      <c r="I302" s="11" t="s">
        <v>298</v>
      </c>
      <c r="J302">
        <f t="shared" si="16"/>
        <v>0</v>
      </c>
      <c r="K302">
        <f t="shared" si="17"/>
        <v>0</v>
      </c>
      <c r="L302">
        <f t="shared" si="18"/>
        <v>0</v>
      </c>
      <c r="M302">
        <f t="shared" si="19"/>
        <v>0</v>
      </c>
    </row>
    <row r="303" spans="1:13" ht="15.75">
      <c r="A303" t="s">
        <v>496</v>
      </c>
      <c r="B303">
        <v>0</v>
      </c>
      <c r="C303">
        <v>0</v>
      </c>
      <c r="D303">
        <v>0</v>
      </c>
      <c r="E303">
        <v>0</v>
      </c>
      <c r="I303" s="11" t="s">
        <v>299</v>
      </c>
      <c r="J303">
        <f t="shared" si="16"/>
        <v>0</v>
      </c>
      <c r="K303">
        <f t="shared" si="17"/>
        <v>0</v>
      </c>
      <c r="L303">
        <f t="shared" si="18"/>
        <v>0</v>
      </c>
      <c r="M303">
        <f t="shared" si="19"/>
        <v>0</v>
      </c>
    </row>
    <row r="304" spans="1:13" ht="15.75">
      <c r="A304" t="s">
        <v>497</v>
      </c>
      <c r="B304">
        <v>0</v>
      </c>
      <c r="C304">
        <v>0</v>
      </c>
      <c r="D304">
        <v>0</v>
      </c>
      <c r="E304">
        <v>0</v>
      </c>
      <c r="I304" s="11" t="s">
        <v>300</v>
      </c>
      <c r="J304">
        <f t="shared" si="16"/>
        <v>0</v>
      </c>
      <c r="K304">
        <f t="shared" si="17"/>
        <v>0</v>
      </c>
      <c r="L304">
        <f t="shared" si="18"/>
        <v>0</v>
      </c>
      <c r="M304">
        <f t="shared" si="19"/>
        <v>0</v>
      </c>
    </row>
    <row r="305" spans="1:13" ht="15.75">
      <c r="A305" t="s">
        <v>498</v>
      </c>
      <c r="B305">
        <v>0</v>
      </c>
      <c r="C305">
        <v>0</v>
      </c>
      <c r="D305">
        <v>0</v>
      </c>
      <c r="E305">
        <v>0</v>
      </c>
      <c r="I305" s="11" t="s">
        <v>301</v>
      </c>
      <c r="J305">
        <f t="shared" si="16"/>
        <v>0</v>
      </c>
      <c r="K305">
        <f t="shared" si="17"/>
        <v>0</v>
      </c>
      <c r="L305">
        <f t="shared" si="18"/>
        <v>0</v>
      </c>
      <c r="M305">
        <f t="shared" si="19"/>
        <v>0</v>
      </c>
    </row>
    <row r="306" spans="1:13" ht="31.5">
      <c r="A306" t="s">
        <v>499</v>
      </c>
      <c r="B306">
        <v>0</v>
      </c>
      <c r="C306">
        <v>0</v>
      </c>
      <c r="D306">
        <v>0</v>
      </c>
      <c r="E306">
        <v>0</v>
      </c>
      <c r="I306" s="12" t="s">
        <v>302</v>
      </c>
      <c r="J306">
        <f t="shared" si="16"/>
        <v>0</v>
      </c>
      <c r="K306">
        <f t="shared" si="17"/>
        <v>0</v>
      </c>
      <c r="L306">
        <f t="shared" si="18"/>
        <v>0</v>
      </c>
      <c r="M306">
        <f t="shared" si="19"/>
        <v>0</v>
      </c>
    </row>
    <row r="307" spans="1:13" ht="15.75">
      <c r="A307" t="s">
        <v>108</v>
      </c>
      <c r="B307">
        <v>0</v>
      </c>
      <c r="C307">
        <v>0</v>
      </c>
      <c r="D307">
        <v>0</v>
      </c>
      <c r="E307">
        <v>0</v>
      </c>
      <c r="I307" s="13" t="s">
        <v>303</v>
      </c>
      <c r="J307">
        <f t="shared" si="16"/>
        <v>0</v>
      </c>
      <c r="K307">
        <f t="shared" si="17"/>
        <v>0</v>
      </c>
      <c r="L307">
        <f t="shared" si="18"/>
        <v>0</v>
      </c>
      <c r="M307">
        <f t="shared" si="19"/>
        <v>0</v>
      </c>
    </row>
    <row r="308" spans="1:13" ht="15.75">
      <c r="A308" t="s">
        <v>225</v>
      </c>
      <c r="B308">
        <v>0</v>
      </c>
      <c r="C308">
        <v>0</v>
      </c>
      <c r="D308">
        <v>0</v>
      </c>
      <c r="E308">
        <v>0</v>
      </c>
      <c r="I308" s="13" t="s">
        <v>304</v>
      </c>
      <c r="J308">
        <f t="shared" si="16"/>
        <v>0</v>
      </c>
      <c r="K308">
        <f t="shared" si="17"/>
        <v>0</v>
      </c>
      <c r="L308">
        <f t="shared" si="18"/>
        <v>0</v>
      </c>
      <c r="M308">
        <f t="shared" si="19"/>
        <v>0</v>
      </c>
    </row>
    <row r="309" spans="1:13" ht="30">
      <c r="A309" t="s">
        <v>500</v>
      </c>
      <c r="B309">
        <v>0</v>
      </c>
      <c r="C309">
        <v>0</v>
      </c>
      <c r="D309">
        <v>0</v>
      </c>
      <c r="E309">
        <v>0</v>
      </c>
      <c r="I309" s="14" t="s">
        <v>305</v>
      </c>
      <c r="J309">
        <f t="shared" si="16"/>
        <v>0</v>
      </c>
      <c r="K309">
        <f t="shared" si="17"/>
        <v>0</v>
      </c>
      <c r="L309">
        <f t="shared" si="18"/>
        <v>0</v>
      </c>
      <c r="M309">
        <f t="shared" si="19"/>
        <v>0</v>
      </c>
    </row>
    <row r="310" spans="1:13" ht="30">
      <c r="A310" t="s">
        <v>501</v>
      </c>
      <c r="B310">
        <v>0</v>
      </c>
      <c r="C310">
        <v>0</v>
      </c>
      <c r="D310">
        <v>0</v>
      </c>
      <c r="E310">
        <v>0</v>
      </c>
      <c r="I310" s="14" t="s">
        <v>306</v>
      </c>
      <c r="J310">
        <f t="shared" si="16"/>
        <v>0</v>
      </c>
      <c r="K310">
        <f t="shared" si="17"/>
        <v>0</v>
      </c>
      <c r="L310">
        <f t="shared" si="18"/>
        <v>0</v>
      </c>
      <c r="M310">
        <f t="shared" si="19"/>
        <v>0</v>
      </c>
    </row>
    <row r="311" spans="1:13">
      <c r="A311" t="s">
        <v>227</v>
      </c>
      <c r="B311">
        <v>0</v>
      </c>
      <c r="C311">
        <v>0</v>
      </c>
      <c r="D311">
        <v>0</v>
      </c>
      <c r="E311">
        <v>0</v>
      </c>
      <c r="I311" s="14" t="s">
        <v>307</v>
      </c>
      <c r="J311">
        <f t="shared" si="16"/>
        <v>0</v>
      </c>
      <c r="K311">
        <f t="shared" si="17"/>
        <v>0</v>
      </c>
      <c r="L311">
        <f t="shared" si="18"/>
        <v>0</v>
      </c>
      <c r="M311">
        <f t="shared" si="19"/>
        <v>0</v>
      </c>
    </row>
    <row r="312" spans="1:13" ht="30">
      <c r="A312" t="s">
        <v>231</v>
      </c>
      <c r="B312">
        <v>0</v>
      </c>
      <c r="C312">
        <v>0</v>
      </c>
      <c r="D312">
        <v>0</v>
      </c>
      <c r="E312">
        <v>0</v>
      </c>
      <c r="I312" s="14" t="s">
        <v>308</v>
      </c>
      <c r="J312">
        <f t="shared" si="16"/>
        <v>0</v>
      </c>
      <c r="K312">
        <f t="shared" si="17"/>
        <v>0</v>
      </c>
      <c r="L312">
        <f t="shared" si="18"/>
        <v>0</v>
      </c>
      <c r="M312">
        <f t="shared" si="19"/>
        <v>0</v>
      </c>
    </row>
    <row r="313" spans="1:13">
      <c r="A313" t="s">
        <v>229</v>
      </c>
      <c r="B313">
        <v>0</v>
      </c>
      <c r="C313">
        <v>0</v>
      </c>
      <c r="D313">
        <v>0</v>
      </c>
      <c r="E313">
        <v>0</v>
      </c>
      <c r="I313" s="14" t="s">
        <v>309</v>
      </c>
      <c r="J313">
        <f t="shared" si="16"/>
        <v>0</v>
      </c>
      <c r="K313">
        <f t="shared" si="17"/>
        <v>0</v>
      </c>
      <c r="L313">
        <f t="shared" si="18"/>
        <v>0</v>
      </c>
      <c r="M313">
        <f t="shared" si="19"/>
        <v>0</v>
      </c>
    </row>
    <row r="314" spans="1:13">
      <c r="A314" t="s">
        <v>230</v>
      </c>
      <c r="B314">
        <v>0</v>
      </c>
      <c r="C314">
        <v>0</v>
      </c>
      <c r="D314">
        <v>0</v>
      </c>
      <c r="E314">
        <v>0</v>
      </c>
      <c r="I314" s="15" t="s">
        <v>310</v>
      </c>
      <c r="J314">
        <f t="shared" si="16"/>
        <v>0</v>
      </c>
      <c r="K314">
        <f t="shared" si="17"/>
        <v>0</v>
      </c>
      <c r="L314">
        <f t="shared" si="18"/>
        <v>0</v>
      </c>
      <c r="M314">
        <f t="shared" si="19"/>
        <v>0</v>
      </c>
    </row>
    <row r="315" spans="1:13">
      <c r="A315" t="s">
        <v>228</v>
      </c>
      <c r="B315">
        <v>0</v>
      </c>
      <c r="C315">
        <v>0</v>
      </c>
      <c r="D315">
        <v>0</v>
      </c>
      <c r="E315">
        <v>0</v>
      </c>
      <c r="I315" s="16" t="s">
        <v>311</v>
      </c>
      <c r="J315">
        <f t="shared" si="16"/>
        <v>0</v>
      </c>
      <c r="K315">
        <f t="shared" si="17"/>
        <v>0</v>
      </c>
      <c r="L315">
        <f t="shared" si="18"/>
        <v>0</v>
      </c>
      <c r="M315">
        <f t="shared" si="19"/>
        <v>0</v>
      </c>
    </row>
    <row r="316" spans="1:13" ht="30">
      <c r="A316" t="s">
        <v>233</v>
      </c>
      <c r="B316">
        <v>0</v>
      </c>
      <c r="C316">
        <v>0</v>
      </c>
      <c r="D316">
        <v>0</v>
      </c>
      <c r="E316">
        <v>0</v>
      </c>
      <c r="I316" s="17" t="s">
        <v>312</v>
      </c>
      <c r="J316">
        <f t="shared" si="16"/>
        <v>0</v>
      </c>
      <c r="K316">
        <f t="shared" si="17"/>
        <v>0</v>
      </c>
      <c r="L316">
        <f t="shared" si="18"/>
        <v>0</v>
      </c>
      <c r="M316">
        <f t="shared" si="19"/>
        <v>0</v>
      </c>
    </row>
    <row r="317" spans="1:13">
      <c r="A317" t="s">
        <v>235</v>
      </c>
      <c r="B317">
        <v>0</v>
      </c>
      <c r="C317">
        <v>0</v>
      </c>
      <c r="D317">
        <v>0</v>
      </c>
      <c r="E317">
        <v>0</v>
      </c>
      <c r="I317" s="18" t="s">
        <v>313</v>
      </c>
      <c r="J317">
        <f t="shared" si="16"/>
        <v>0</v>
      </c>
      <c r="K317">
        <f t="shared" si="17"/>
        <v>0</v>
      </c>
      <c r="L317">
        <f t="shared" si="18"/>
        <v>0</v>
      </c>
      <c r="M317">
        <f t="shared" si="19"/>
        <v>0</v>
      </c>
    </row>
    <row r="318" spans="1:13" ht="30">
      <c r="A318" t="s">
        <v>236</v>
      </c>
      <c r="B318">
        <v>0</v>
      </c>
      <c r="C318">
        <v>0</v>
      </c>
      <c r="D318">
        <v>0</v>
      </c>
      <c r="E318">
        <v>0</v>
      </c>
      <c r="I318" s="16" t="s">
        <v>314</v>
      </c>
      <c r="J318">
        <f t="shared" si="16"/>
        <v>0</v>
      </c>
      <c r="K318">
        <f t="shared" si="17"/>
        <v>0</v>
      </c>
      <c r="L318">
        <f t="shared" si="18"/>
        <v>0</v>
      </c>
      <c r="M318">
        <f t="shared" si="19"/>
        <v>0</v>
      </c>
    </row>
    <row r="319" spans="1:13" ht="30">
      <c r="A319" t="s">
        <v>234</v>
      </c>
      <c r="B319">
        <v>0</v>
      </c>
      <c r="C319">
        <v>0</v>
      </c>
      <c r="D319">
        <v>0</v>
      </c>
      <c r="E319">
        <v>0</v>
      </c>
      <c r="I319" s="17" t="s">
        <v>315</v>
      </c>
      <c r="J319">
        <f t="shared" si="16"/>
        <v>0</v>
      </c>
      <c r="K319">
        <f t="shared" si="17"/>
        <v>0</v>
      </c>
      <c r="L319">
        <f t="shared" si="18"/>
        <v>0</v>
      </c>
      <c r="M319">
        <f t="shared" si="19"/>
        <v>0</v>
      </c>
    </row>
    <row r="320" spans="1:13">
      <c r="A320" t="s">
        <v>232</v>
      </c>
      <c r="B320">
        <v>0</v>
      </c>
      <c r="C320">
        <v>0</v>
      </c>
      <c r="D320">
        <v>0</v>
      </c>
      <c r="E320">
        <v>0</v>
      </c>
    </row>
    <row r="321" spans="1:5">
      <c r="A321" t="s">
        <v>502</v>
      </c>
      <c r="B321">
        <v>0</v>
      </c>
      <c r="C321">
        <v>0</v>
      </c>
      <c r="D321">
        <v>0</v>
      </c>
      <c r="E321">
        <v>0</v>
      </c>
    </row>
    <row r="322" spans="1:5">
      <c r="A322" t="s">
        <v>503</v>
      </c>
      <c r="B322">
        <v>0</v>
      </c>
      <c r="C322">
        <v>0</v>
      </c>
      <c r="D322">
        <v>0</v>
      </c>
      <c r="E322">
        <v>0</v>
      </c>
    </row>
    <row r="323" spans="1:5">
      <c r="A323" t="s">
        <v>504</v>
      </c>
      <c r="B323">
        <v>0</v>
      </c>
      <c r="C323">
        <v>0</v>
      </c>
      <c r="D323">
        <v>0</v>
      </c>
      <c r="E323">
        <v>0</v>
      </c>
    </row>
    <row r="324" spans="1:5">
      <c r="A324" t="s">
        <v>505</v>
      </c>
      <c r="B324">
        <v>0</v>
      </c>
      <c r="C324">
        <v>0</v>
      </c>
      <c r="D324">
        <v>0</v>
      </c>
      <c r="E324">
        <v>0</v>
      </c>
    </row>
    <row r="325" spans="1:5">
      <c r="A325" t="s">
        <v>506</v>
      </c>
      <c r="B325">
        <v>0</v>
      </c>
      <c r="C325">
        <v>0</v>
      </c>
      <c r="D325">
        <v>0</v>
      </c>
      <c r="E325">
        <v>0</v>
      </c>
    </row>
    <row r="326" spans="1:5">
      <c r="A326" t="s">
        <v>238</v>
      </c>
      <c r="B326">
        <v>0</v>
      </c>
      <c r="C326">
        <v>0</v>
      </c>
      <c r="D326">
        <v>0</v>
      </c>
      <c r="E326">
        <v>0</v>
      </c>
    </row>
    <row r="327" spans="1:5">
      <c r="A327" t="s">
        <v>240</v>
      </c>
      <c r="B327">
        <v>0</v>
      </c>
      <c r="C327">
        <v>0</v>
      </c>
      <c r="D327">
        <v>0</v>
      </c>
      <c r="E327">
        <v>0</v>
      </c>
    </row>
    <row r="328" spans="1:5">
      <c r="A328" t="s">
        <v>241</v>
      </c>
      <c r="B328">
        <v>0</v>
      </c>
      <c r="C328">
        <v>0</v>
      </c>
      <c r="D328">
        <v>0</v>
      </c>
      <c r="E328">
        <v>0</v>
      </c>
    </row>
    <row r="329" spans="1:5">
      <c r="A329" t="s">
        <v>239</v>
      </c>
      <c r="B329">
        <v>0</v>
      </c>
      <c r="C329">
        <v>0</v>
      </c>
      <c r="D329">
        <v>0</v>
      </c>
      <c r="E329">
        <v>0</v>
      </c>
    </row>
    <row r="330" spans="1:5">
      <c r="A330" t="s">
        <v>237</v>
      </c>
      <c r="B330">
        <v>0</v>
      </c>
      <c r="C330">
        <v>0</v>
      </c>
      <c r="D330">
        <v>0</v>
      </c>
      <c r="E330">
        <v>0</v>
      </c>
    </row>
    <row r="331" spans="1:5">
      <c r="A331" t="s">
        <v>507</v>
      </c>
      <c r="B331">
        <v>0</v>
      </c>
      <c r="C331">
        <v>0</v>
      </c>
      <c r="D331">
        <v>0</v>
      </c>
      <c r="E331">
        <v>0</v>
      </c>
    </row>
    <row r="332" spans="1:5">
      <c r="A332" t="s">
        <v>508</v>
      </c>
      <c r="B332">
        <v>0</v>
      </c>
      <c r="C332">
        <v>0</v>
      </c>
      <c r="D332">
        <v>0</v>
      </c>
      <c r="E332">
        <v>0</v>
      </c>
    </row>
    <row r="333" spans="1:5">
      <c r="A333" t="s">
        <v>509</v>
      </c>
      <c r="B333">
        <v>0</v>
      </c>
      <c r="C333">
        <v>0</v>
      </c>
      <c r="D333">
        <v>0</v>
      </c>
      <c r="E333">
        <v>0</v>
      </c>
    </row>
    <row r="334" spans="1:5">
      <c r="A334" t="s">
        <v>213</v>
      </c>
      <c r="B334">
        <v>0</v>
      </c>
      <c r="C334">
        <v>0</v>
      </c>
      <c r="D334">
        <v>0</v>
      </c>
      <c r="E334">
        <v>0</v>
      </c>
    </row>
    <row r="335" spans="1:5">
      <c r="A335" t="s">
        <v>201</v>
      </c>
      <c r="B335">
        <v>0</v>
      </c>
      <c r="C335">
        <v>0</v>
      </c>
      <c r="D335">
        <v>0</v>
      </c>
      <c r="E335">
        <v>0</v>
      </c>
    </row>
    <row r="336" spans="1:5">
      <c r="A336" t="s">
        <v>204</v>
      </c>
      <c r="B336">
        <v>0</v>
      </c>
      <c r="C336">
        <v>0</v>
      </c>
      <c r="D336">
        <v>0</v>
      </c>
      <c r="E336">
        <v>0</v>
      </c>
    </row>
    <row r="337" spans="1:5">
      <c r="A337" t="s">
        <v>4</v>
      </c>
      <c r="B337">
        <v>0</v>
      </c>
      <c r="C337">
        <v>0</v>
      </c>
      <c r="D337">
        <v>0</v>
      </c>
      <c r="E337">
        <v>0</v>
      </c>
    </row>
    <row r="338" spans="1:5">
      <c r="A338" t="s">
        <v>64</v>
      </c>
      <c r="B338">
        <v>0</v>
      </c>
      <c r="C338">
        <v>0</v>
      </c>
      <c r="D338">
        <v>0</v>
      </c>
      <c r="E338">
        <v>0</v>
      </c>
    </row>
    <row r="339" spans="1:5">
      <c r="A339" t="s">
        <v>67</v>
      </c>
      <c r="B339">
        <v>0</v>
      </c>
      <c r="C339">
        <v>0</v>
      </c>
      <c r="D339">
        <v>0</v>
      </c>
      <c r="E339">
        <v>0</v>
      </c>
    </row>
    <row r="340" spans="1:5">
      <c r="A340" t="s">
        <v>11</v>
      </c>
      <c r="B340">
        <v>0</v>
      </c>
      <c r="C340">
        <v>0</v>
      </c>
      <c r="D340">
        <v>0</v>
      </c>
      <c r="E340">
        <v>0</v>
      </c>
    </row>
    <row r="341" spans="1:5">
      <c r="A341" t="s">
        <v>16</v>
      </c>
      <c r="B341">
        <v>0</v>
      </c>
      <c r="C341">
        <v>0</v>
      </c>
      <c r="D341">
        <v>0</v>
      </c>
      <c r="E341">
        <v>0</v>
      </c>
    </row>
    <row r="342" spans="1:5">
      <c r="A342" t="s">
        <v>18</v>
      </c>
      <c r="B342">
        <v>0</v>
      </c>
      <c r="C342">
        <v>0</v>
      </c>
      <c r="D342">
        <v>0</v>
      </c>
      <c r="E342">
        <v>0</v>
      </c>
    </row>
    <row r="343" spans="1:5">
      <c r="A343" t="s">
        <v>19</v>
      </c>
      <c r="B343">
        <v>0</v>
      </c>
      <c r="C343">
        <v>0</v>
      </c>
      <c r="D343">
        <v>0</v>
      </c>
      <c r="E343">
        <v>0</v>
      </c>
    </row>
    <row r="344" spans="1:5">
      <c r="A344" t="s">
        <v>20</v>
      </c>
      <c r="B344">
        <v>0</v>
      </c>
      <c r="C344">
        <v>0</v>
      </c>
      <c r="D344">
        <v>0</v>
      </c>
      <c r="E344">
        <v>0</v>
      </c>
    </row>
    <row r="345" spans="1:5">
      <c r="A345" t="s">
        <v>21</v>
      </c>
      <c r="B345">
        <v>0</v>
      </c>
      <c r="C345">
        <v>0</v>
      </c>
      <c r="D345">
        <v>0</v>
      </c>
      <c r="E345">
        <v>0</v>
      </c>
    </row>
    <row r="346" spans="1:5">
      <c r="A346" t="s">
        <v>22</v>
      </c>
      <c r="B346">
        <v>0</v>
      </c>
      <c r="C346">
        <v>0</v>
      </c>
      <c r="D346">
        <v>0</v>
      </c>
      <c r="E346">
        <v>0</v>
      </c>
    </row>
    <row r="347" spans="1:5">
      <c r="A347" t="s">
        <v>23</v>
      </c>
      <c r="B347">
        <v>0</v>
      </c>
      <c r="C347">
        <v>0</v>
      </c>
      <c r="D347">
        <v>0</v>
      </c>
      <c r="E347">
        <v>0</v>
      </c>
    </row>
    <row r="348" spans="1:5">
      <c r="A348" t="s">
        <v>80</v>
      </c>
      <c r="B348">
        <v>0</v>
      </c>
      <c r="C348">
        <v>0</v>
      </c>
      <c r="D348">
        <v>0</v>
      </c>
      <c r="E348">
        <v>0</v>
      </c>
    </row>
    <row r="349" spans="1:5">
      <c r="A349" t="s">
        <v>82</v>
      </c>
      <c r="B349">
        <v>0</v>
      </c>
      <c r="C349">
        <v>0</v>
      </c>
      <c r="D349">
        <v>0</v>
      </c>
      <c r="E349">
        <v>0</v>
      </c>
    </row>
    <row r="350" spans="1:5">
      <c r="A350" t="s">
        <v>25</v>
      </c>
      <c r="B350">
        <v>0</v>
      </c>
      <c r="C350">
        <v>0</v>
      </c>
      <c r="D350">
        <v>0</v>
      </c>
      <c r="E350">
        <v>0</v>
      </c>
    </row>
    <row r="351" spans="1:5">
      <c r="A351" t="s">
        <v>88</v>
      </c>
      <c r="B351">
        <v>0</v>
      </c>
      <c r="C351">
        <v>0</v>
      </c>
      <c r="D351">
        <v>0</v>
      </c>
      <c r="E351">
        <v>0</v>
      </c>
    </row>
    <row r="352" spans="1:5">
      <c r="A352" t="s">
        <v>33</v>
      </c>
      <c r="B352">
        <v>0</v>
      </c>
      <c r="C352">
        <v>0</v>
      </c>
      <c r="D352">
        <v>0</v>
      </c>
      <c r="E352">
        <v>0</v>
      </c>
    </row>
    <row r="353" spans="1:5">
      <c r="A353" t="s">
        <v>510</v>
      </c>
      <c r="B353">
        <v>0</v>
      </c>
      <c r="C353">
        <v>0</v>
      </c>
      <c r="D353">
        <v>0</v>
      </c>
      <c r="E353">
        <v>0</v>
      </c>
    </row>
    <row r="354" spans="1:5">
      <c r="A354" t="s">
        <v>93</v>
      </c>
      <c r="B354">
        <v>0</v>
      </c>
      <c r="C354">
        <v>0</v>
      </c>
      <c r="D354">
        <v>0</v>
      </c>
      <c r="E354">
        <v>0</v>
      </c>
    </row>
    <row r="355" spans="1:5">
      <c r="A355" t="s">
        <v>34</v>
      </c>
      <c r="B355">
        <v>0</v>
      </c>
      <c r="C355">
        <v>0</v>
      </c>
      <c r="D355">
        <v>0</v>
      </c>
      <c r="E355">
        <v>0</v>
      </c>
    </row>
    <row r="356" spans="1:5">
      <c r="A356" t="s">
        <v>511</v>
      </c>
      <c r="B356">
        <v>0</v>
      </c>
      <c r="C356">
        <v>0</v>
      </c>
      <c r="D356">
        <v>0</v>
      </c>
      <c r="E356">
        <v>0</v>
      </c>
    </row>
    <row r="357" spans="1:5">
      <c r="A357" t="s">
        <v>512</v>
      </c>
      <c r="B357">
        <v>0</v>
      </c>
      <c r="C357">
        <v>0</v>
      </c>
      <c r="D357">
        <v>0</v>
      </c>
      <c r="E357">
        <v>0</v>
      </c>
    </row>
  </sheetData>
  <autoFilter ref="I1:N319"/>
  <conditionalFormatting sqref="I229:I240">
    <cfRule type="duplicateValues" dxfId="2" priority="1"/>
  </conditionalFormatting>
  <conditionalFormatting sqref="I241:I306">
    <cfRule type="duplicateValues" dxfId="1" priority="3"/>
  </conditionalFormatting>
  <conditionalFormatting sqref="I307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3" workbookViewId="0">
      <selection activeCell="D41" sqref="D41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2026-03-01T07:17:13Z</dcterms:created>
  <dcterms:modified xsi:type="dcterms:W3CDTF">2026-03-01T08:14:43Z</dcterms:modified>
</cp:coreProperties>
</file>